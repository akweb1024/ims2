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ary" sheetId="1" state="visible" r:id="rId2"/>
    <sheet name="Expenses " sheetId="2" state="visible" r:id="rId3"/>
    <sheet name="Blank" sheetId="3" state="visible" r:id="rId4"/>
    <sheet name="Annexure" sheetId="4" state="visible" r:id="rId5"/>
    <sheet name="Salary Slip" sheetId="5" state="visible" r:id="rId6"/>
    <sheet name="Subham Gautam" sheetId="6" state="visible" r:id="rId7"/>
    <sheet name="Salary Monthwise" sheetId="7" state="visible" r:id="rId8"/>
    <sheet name="Attendance Sheet" sheetId="8" state="visible" r:id="rId9"/>
    <sheet name="SALARY NEW SLIP" sheetId="9" state="visible" r:id="rId10"/>
  </sheets>
  <definedNames>
    <definedName function="false" hidden="false" localSheetId="0" name="_FilterDatabase_0" vbProcedure="false">Salary!$A$4:$C$73</definedName>
    <definedName function="false" hidden="false" localSheetId="0" name="_FilterDatabase_0_0" vbProcedure="false">#REF! #REF!</definedName>
    <definedName function="false" hidden="false" localSheetId="0" name="_FilterDatabase_0_0_0" vbProcedure="false">Salary!$A$4:$C$73</definedName>
    <definedName function="false" hidden="false" localSheetId="0" name="_FilterDatabase_0_0_0_0" vbProcedure="false">#REF! #REF!</definedName>
    <definedName function="false" hidden="false" localSheetId="0" name="_FilterDatabase_0_0_0_0_0" vbProcedure="false">Salary!$A$4:$C$73</definedName>
    <definedName function="false" hidden="false" localSheetId="0" name="_FilterDatabase_0_0_0_0_0_0" vbProcedure="false">#REF! #REF!</definedName>
    <definedName function="false" hidden="false" localSheetId="0" name="_FilterDatabase_0_0_0_0_0_0_0" vbProcedure="false">Salary!$A$4:$C$73</definedName>
    <definedName function="false" hidden="false" localSheetId="0" name="_FilterDatabase_0_0_0_0_0_0_0_0" vbProcedure="false">#REF! #REF!</definedName>
    <definedName function="false" hidden="false" localSheetId="0" name="_FilterDatabase_0_0_0_0_0_0_0_0_0" vbProcedure="false">Salary!$A$4:$C$73</definedName>
    <definedName function="false" hidden="false" localSheetId="0" name="_FilterDatabase_0_0_0_0_0_0_0_0_0_0" vbProcedure="false">#REF! #REF!</definedName>
    <definedName function="false" hidden="false" localSheetId="0" name="_FilterDatabase_0_0_0_0_0_0_0_0_0_0_0" vbProcedure="false">Salary!$A$4:$C$73</definedName>
    <definedName function="false" hidden="false" localSheetId="0" name="_FilterDatabase_0_0_0_0_0_0_0_0_0_0_0_0" vbProcedure="false">#REF! #REF!</definedName>
    <definedName function="false" hidden="false" localSheetId="0" name="_FilterDatabase_0_0_0_0_0_0_0_0_0_0_0_0_0" vbProcedure="false">Salary!$A$4:$C$73</definedName>
    <definedName function="false" hidden="false" localSheetId="0" name="_FilterDatabase_0_0_0_0_0_0_0_0_0_0_0_0_0_0" vbProcedure="false">#REF! #REF!</definedName>
    <definedName function="false" hidden="false" localSheetId="0" name="_FilterDatabase_0_0_0_0_0_0_0_0_0_0_0_0_0_0_0" vbProcedure="false">Salary!$A$4:$C$73</definedName>
    <definedName function="false" hidden="false" localSheetId="0" name="_FilterDatabase_0_0_0_0_0_0_0_0_0_0_0_0_0_0_0_0" vbProcedure="false">#REF! #REF!</definedName>
    <definedName function="false" hidden="false" localSheetId="0" name="_FilterDatabase_0_0_0_0_0_0_0_0_0_0_0_0_0_0_0_0_0" vbProcedure="false">Salary!$A$4:$C$73</definedName>
    <definedName function="false" hidden="false" localSheetId="0" name="_FilterDatabase_0_0_0_0_0_0_0_0_0_0_0_0_0_0_0_0_0_0" vbProcedure="false">#REF! #REF!</definedName>
    <definedName function="false" hidden="false" localSheetId="0" name="_FilterDatabase_0_0_0_0_0_0_0_0_0_0_0_0_0_0_0_0_0_0_0" vbProcedure="false">Salary!$A$4:$C$73</definedName>
    <definedName function="false" hidden="false" localSheetId="0" name="_FilterDatabase_0_0_0_0_0_0_0_0_0_0_0_0_0_0_0_0_0_0_0_0" vbProcedure="false">#REF! #REF!</definedName>
    <definedName function="false" hidden="false" localSheetId="0" name="_FilterDatabase_0_0_0_0_0_0_0_0_0_0_0_0_0_0_0_0_0_0_0_0_0" vbProcedure="false">Salary!$A$4:$C$73</definedName>
    <definedName function="false" hidden="false" localSheetId="0" name="_FilterDatabase_0_0_0_0_0_0_0_0_0_0_0_0_0_0_0_0_0_0_0_0_0_0" vbProcedure="false">#REF! #REF!</definedName>
    <definedName function="false" hidden="false" localSheetId="0" name="_FilterDatabase_0_0_0_0_0_0_0_0_0_0_0_0_0_0_0_0_0_0_0_0_0_0_0" vbProcedure="false">Salary!$A$4:$C$73</definedName>
    <definedName function="false" hidden="false" localSheetId="0" name="_FilterDatabase_0_0_0_0_0_0_0_0_0_0_0_0_0_0_0_0_0_0_0_0_0_0_0_0" vbProcedure="false">#REF! #REF!</definedName>
    <definedName function="false" hidden="false" localSheetId="0" name="_FilterDatabase_0_0_0_0_0_0_0_0_0_0_0_0_0_0_0_0_0_0_0_0_0_0_0_0_0" vbProcedure="false">Salary!$A$4:$C$73</definedName>
    <definedName function="false" hidden="false" localSheetId="0" name="_FilterDatabase_0_0_0_0_0_0_0_0_0_0_0_0_0_0_0_0_0_0_0_0_0_0_0_0_0_0" vbProcedure="false">#REF! #REF!</definedName>
    <definedName function="false" hidden="false" localSheetId="0" name="_FilterDatabase_0_0_0_0_0_0_0_0_0_0_0_0_0_0_0_0_0_0_0_0_0_0_0_0_0_0_0" vbProcedure="false">Salary!$A$4:$C$73</definedName>
    <definedName function="false" hidden="false" localSheetId="0" name="_FilterDatabase_0_0_0_0_0_0_0_0_0_0_0_0_0_0_0_0_0_0_0_0_0_0_0_0_0_0_0_0" vbProcedure="false">#REF! #REF!</definedName>
    <definedName function="false" hidden="false" localSheetId="0" name="_FilterDatabase_0_0_0_0_0_0_0_0_0_0_0_0_0_0_0_0_0_0_0_0_0_0_0_0_0_0_0_0_0" vbProcedure="false">Salary!$A$4:$C$73</definedName>
    <definedName function="false" hidden="false" localSheetId="0" name="_FilterDatabase_0_0_0_0_0_0_0_0_0_0_0_0_0_0_0_0_0_0_0_0_0_0_0_0_0_0_0_0_0_0" vbProcedure="false">#REF! #REF!</definedName>
    <definedName function="false" hidden="false" localSheetId="0" name="_FilterDatabase_0_0_0_0_0_0_0_0_0_0_0_0_0_0_0_0_0_0_0_0_0_0_0_0_0_0_0_0_0_0_0" vbProcedure="false">Salary!$A$4:$C$73</definedName>
    <definedName function="false" hidden="false" localSheetId="0" name="_FilterDatabase_0_0_0_0_0_0_0_0_0_0_0_0_0_0_0_0_0_0_0_0_0_0_0_0_0_0_0_0_0_0_0_0" vbProcedure="false">#REF! #REF!</definedName>
    <definedName function="false" hidden="false" localSheetId="0" name="_FilterDatabase_0_0_0_0_0_0_0_0_0_0_0_0_0_0_0_0_0_0_0_0_0_0_0_0_0_0_0_0_0_0_0_0_0" vbProcedure="false">Salary!$A$4:$C$73</definedName>
    <definedName function="false" hidden="false" localSheetId="0" name="_FilterDatabase_0_0_0_0_0_0_0_0_0_0_0_0_0_0_0_0_0_0_0_0_0_0_0_0_0_0_0_0_0_0_0_0_0_0" vbProcedure="false">#REF! #REF!</definedName>
    <definedName function="false" hidden="false" localSheetId="0" name="_FilterDatabase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" vbProcedure="false">Salary!$A$4:$C$73</definedName>
    <definedName function="false" hidden="false" localSheetId="0" name="_FilterDatabase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FilterDatabase_0_0_0_0_0_0_0_0_0_0_0_0_0_0_0_0_0_0_0_0_0_0_0_0_0_0_0_0_0_0_0_0_0_0_0_0_0_0_0_0_0_0_0_0_0_0_0_0_0_0_0_0_0_0_0_0_0_0_0_0_0_0_0_0_0_0_0_0_0_0_0_0_0_0_0_0_0_0_0_0_0_0_0_0_0_0_0_0_0_0_0_0_0_0_0_0_0_0_0_0_0_0_0_0_0_0_0_0_0_0_0_0_0_0_0_0_0" vbProcedure="false">#REF! #REF!</definedName>
    <definedName function="false" hidden="false" localSheetId="0" name="_xlnm._FilterDatabase" vbProcedure="false">#REF! 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34" authorId="0">
      <text>
        <r>
          <rPr>
            <sz val="11"/>
            <color rgb="FF000000"/>
            <rFont val="Calibri"/>
            <family val="2"/>
            <charset val="1"/>
          </rPr>
          <t xml:space="preserve">Training completed and Permanet form 01-11-2025
</t>
        </r>
      </text>
    </comment>
    <comment ref="D35" authorId="0">
      <text>
        <r>
          <rPr>
            <sz val="11"/>
            <color rgb="FF000000"/>
            <rFont val="Calibri"/>
            <family val="2"/>
            <charset val="1"/>
          </rPr>
          <t xml:space="preserve">Permanent</t>
        </r>
      </text>
    </comment>
    <comment ref="M33" authorId="0">
      <text>
        <r>
          <rPr>
            <sz val="11"/>
            <color rgb="FF000000"/>
            <rFont val="Calibri"/>
            <family val="2"/>
            <charset val="1"/>
          </rPr>
          <t xml:space="preserve">ESIC NOT DEBIT</t>
        </r>
      </text>
    </comment>
    <comment ref="W8" authorId="0">
      <text>
        <r>
          <rPr>
            <sz val="11"/>
            <color rgb="FF000000"/>
            <rFont val="Calibri"/>
            <family val="2"/>
            <charset val="1"/>
          </rPr>
          <t xml:space="preserve">Sep,Oo0ct,Nov=2*3=6k</t>
        </r>
      </text>
    </comment>
    <comment ref="AA12" authorId="0">
      <text>
        <r>
          <rPr>
            <sz val="10"/>
            <rFont val="Arial"/>
            <family val="2"/>
            <charset val="1"/>
          </rPr>
          <t xml:space="preserve">Adv Recived in 24 Feb 2025 30k@ 2k Ded. Per Month
Total 15 installment completed on Feb. 2025 to 
April 2026</t>
        </r>
      </text>
    </comment>
    <comment ref="AA14" authorId="0">
      <text>
        <r>
          <rPr>
            <sz val="10"/>
            <rFont val="Arial"/>
            <family val="2"/>
            <charset val="1"/>
          </rPr>
          <t xml:space="preserve">Adv recived in 25-06-2025 – 20K (ded. In (Aug to Nov 2025)
Adv recived in 16-10-2025 – 10K (ded. In 5each (Dec to Jan 2025)+10k more- till march 5k will be debit</t>
        </r>
      </text>
    </comment>
    <comment ref="AA25" authorId="0">
      <text>
        <r>
          <rPr>
            <sz val="11"/>
            <color rgb="FF000000"/>
            <rFont val="Calibri"/>
            <family val="2"/>
            <charset val="1"/>
          </rPr>
          <t xml:space="preserve">15k adv 1 of 3 EMI DEC,JAN,FEB 2026
</t>
        </r>
      </text>
    </comment>
    <comment ref="AA26" authorId="0">
      <text>
        <r>
          <rPr>
            <sz val="10"/>
            <rFont val="Arial"/>
            <family val="2"/>
            <charset val="1"/>
          </rPr>
          <t xml:space="preserve">25k Adv. On 26-09-2025 Ded.in 05 Install. Sep 2025 to Jan 2026</t>
        </r>
      </text>
    </comment>
  </commentList>
</comments>
</file>

<file path=xl/sharedStrings.xml><?xml version="1.0" encoding="utf-8"?>
<sst xmlns="http://schemas.openxmlformats.org/spreadsheetml/2006/main" count="807" uniqueCount="247">
  <si>
    <t xml:space="preserve">Salary for the month of  December 2025</t>
  </si>
  <si>
    <t xml:space="preserve">Monthly CTC for Employees</t>
  </si>
  <si>
    <t xml:space="preserve">Gross Earnings</t>
  </si>
  <si>
    <t xml:space="preserve">Deduction</t>
  </si>
  <si>
    <t xml:space="preserve">EMP 
CODE</t>
  </si>
  <si>
    <t xml:space="preserve">S.No.</t>
  </si>
  <si>
    <t xml:space="preserve">NAME OF EMPLOYEE</t>
  </si>
  <si>
    <t xml:space="preserve">DOJ</t>
  </si>
  <si>
    <t xml:space="preserve">Entity</t>
  </si>
  <si>
    <t xml:space="preserve">BASIC+DA</t>
  </si>
  <si>
    <t xml:space="preserve">HRA</t>
  </si>
  <si>
    <t xml:space="preserve">Conveyance</t>
  </si>
  <si>
    <t xml:space="preserve">Statutory
Bonus</t>
  </si>
  <si>
    <t xml:space="preserve">Special Allowance</t>
  </si>
  <si>
    <t xml:space="preserve">Gross</t>
  </si>
  <si>
    <t xml:space="preserve">Employer PF</t>
  </si>
  <si>
    <t xml:space="preserve">Employer ESIC</t>
  </si>
  <si>
    <t xml:space="preserve">CTC</t>
  </si>
  <si>
    <t xml:space="preserve">Reimbursement Quarterly</t>
  </si>
  <si>
    <t xml:space="preserve">Gross 
CTC</t>
  </si>
  <si>
    <t xml:space="preserve">Pay 
Days</t>
  </si>
  <si>
    <t xml:space="preserve">BASIC</t>
  </si>
  <si>
    <t xml:space="preserve">Incentive
/Others</t>
  </si>
  <si>
    <t xml:space="preserve">Total Gross</t>
  </si>
  <si>
    <t xml:space="preserve">PF</t>
  </si>
  <si>
    <t xml:space="preserve">ESIC</t>
  </si>
  <si>
    <t xml:space="preserve">TDS /
Advance</t>
  </si>
  <si>
    <t xml:space="preserve">Total Deduction</t>
  </si>
  <si>
    <t xml:space="preserve">Net Salary</t>
  </si>
  <si>
    <t xml:space="preserve">Expenses</t>
  </si>
  <si>
    <t xml:space="preserve">Salary relesaed</t>
  </si>
  <si>
    <t xml:space="preserve">Reinste</t>
  </si>
  <si>
    <t xml:space="preserve">Gulab</t>
  </si>
  <si>
    <t xml:space="preserve">01.06.2018</t>
  </si>
  <si>
    <t xml:space="preserve">Garima Singh</t>
  </si>
  <si>
    <t xml:space="preserve">19.05.2022</t>
  </si>
  <si>
    <t xml:space="preserve">Ayushi Jain</t>
  </si>
  <si>
    <t xml:space="preserve">01-12-2025</t>
  </si>
  <si>
    <t xml:space="preserve">UAN-102138518060</t>
  </si>
  <si>
    <t xml:space="preserve">TOTAL</t>
  </si>
  <si>
    <t xml:space="preserve">Consortium  </t>
  </si>
  <si>
    <t xml:space="preserve">Asan Kumar</t>
  </si>
  <si>
    <t xml:space="preserve">13.04.2012</t>
  </si>
  <si>
    <t xml:space="preserve">Consortium</t>
  </si>
  <si>
    <t xml:space="preserve">Ashwani Kumar</t>
  </si>
  <si>
    <t xml:space="preserve">23.05.2010</t>
  </si>
  <si>
    <t xml:space="preserve">Quaisher Hossain</t>
  </si>
  <si>
    <t xml:space="preserve">14.03.2016</t>
  </si>
  <si>
    <t xml:space="preserve">Gagan Kumar</t>
  </si>
  <si>
    <t xml:space="preserve">01.01.2021</t>
  </si>
  <si>
    <t xml:space="preserve">Amit Kumar Rai</t>
  </si>
  <si>
    <t xml:space="preserve">01.12.2021</t>
  </si>
  <si>
    <t xml:space="preserve">FNF</t>
  </si>
  <si>
    <t xml:space="preserve">Aarti Sharma</t>
  </si>
  <si>
    <t xml:space="preserve">01.05.2022</t>
  </si>
  <si>
    <t xml:space="preserve">Srishti Singh</t>
  </si>
  <si>
    <t xml:space="preserve">12.07.2022</t>
  </si>
  <si>
    <t xml:space="preserve">Akash Kumar Gupta</t>
  </si>
  <si>
    <t xml:space="preserve">15.11.2022</t>
  </si>
  <si>
    <t xml:space="preserve">Chinku</t>
  </si>
  <si>
    <t xml:space="preserve">18.11.2022</t>
  </si>
  <si>
    <t xml:space="preserve">Manish Singh</t>
  </si>
  <si>
    <t xml:space="preserve">21.11.2022</t>
  </si>
  <si>
    <t xml:space="preserve">Jaya Singh</t>
  </si>
  <si>
    <t xml:space="preserve">01.01.2023</t>
  </si>
  <si>
    <t xml:space="preserve">Mansi Srivastava</t>
  </si>
  <si>
    <t xml:space="preserve">01.04.2023</t>
  </si>
  <si>
    <t xml:space="preserve">Navinder Singh Bisht</t>
  </si>
  <si>
    <t xml:space="preserve">Vivek Verma</t>
  </si>
  <si>
    <t xml:space="preserve">Rishabh Pandey</t>
  </si>
  <si>
    <t xml:space="preserve">01.05.2023</t>
  </si>
  <si>
    <t xml:space="preserve">Neetu Raghav</t>
  </si>
  <si>
    <t xml:space="preserve">Subham Gautam</t>
  </si>
  <si>
    <t xml:space="preserve">01.12.2023</t>
  </si>
  <si>
    <t xml:space="preserve">Taniya</t>
  </si>
  <si>
    <t xml:space="preserve">01.07.2024</t>
  </si>
  <si>
    <t xml:space="preserve">Mansi Poonia</t>
  </si>
  <si>
    <t xml:space="preserve">Gautam Goswami</t>
  </si>
  <si>
    <t xml:space="preserve">20.07.2024</t>
  </si>
  <si>
    <t xml:space="preserve">UAN 100158762272</t>
  </si>
  <si>
    <t xml:space="preserve">Shivani Sonekar</t>
  </si>
  <si>
    <t xml:space="preserve">21.02.2025</t>
  </si>
  <si>
    <t xml:space="preserve">Rashika Yadav</t>
  </si>
  <si>
    <t xml:space="preserve">11-07-2025</t>
  </si>
  <si>
    <t xml:space="preserve">Aparna Balchandran</t>
  </si>
  <si>
    <t xml:space="preserve">17-07-2025</t>
  </si>
  <si>
    <t xml:space="preserve">INC 3k</t>
  </si>
  <si>
    <t xml:space="preserve">Neha Durga</t>
  </si>
  <si>
    <t xml:space="preserve">01-11-2025</t>
  </si>
  <si>
    <t xml:space="preserve">Vanshika Kardam</t>
  </si>
  <si>
    <t xml:space="preserve">UAN102278611079</t>
  </si>
  <si>
    <t xml:space="preserve">Rohan Gautam</t>
  </si>
  <si>
    <t xml:space="preserve">UAN102286813904</t>
  </si>
  <si>
    <t xml:space="preserve">GRAND TOTAL</t>
  </si>
  <si>
    <t xml:space="preserve">Net salary</t>
  </si>
  <si>
    <t xml:space="preserve">Individual chq</t>
  </si>
  <si>
    <t xml:space="preserve">Less Individual chq</t>
  </si>
  <si>
    <t xml:space="preserve">Chq Amount</t>
  </si>
  <si>
    <t xml:space="preserve">Total</t>
  </si>
  <si>
    <t xml:space="preserve">Advance</t>
  </si>
  <si>
    <t xml:space="preserve">Health Care</t>
  </si>
  <si>
    <t xml:space="preserve">Travelling</t>
  </si>
  <si>
    <t xml:space="preserve">Mobile</t>
  </si>
  <si>
    <t xml:space="preserve">Internet</t>
  </si>
  <si>
    <t xml:space="preserve">Books &amp; Periodicals</t>
  </si>
  <si>
    <t xml:space="preserve">Total
Entitlement</t>
  </si>
  <si>
    <t xml:space="preserve">Others</t>
  </si>
  <si>
    <t xml:space="preserve">Gross 
Total</t>
  </si>
  <si>
    <t xml:space="preserve">Net Payable</t>
  </si>
  <si>
    <t xml:space="preserve">Consortiun</t>
  </si>
  <si>
    <t xml:space="preserve">Ch.No. 000</t>
  </si>
  <si>
    <t xml:space="preserve"> Ch.No.000</t>
  </si>
  <si>
    <t xml:space="preserve">13.06.2024</t>
  </si>
  <si>
    <t xml:space="preserve">Annexure-I</t>
  </si>
  <si>
    <t xml:space="preserve">GROUP : Reinste Nano Ventures Private Limited</t>
  </si>
  <si>
    <t xml:space="preserve">NAME OF EMP:</t>
  </si>
  <si>
    <t xml:space="preserve">Mr Arun Naithani</t>
  </si>
  <si>
    <t xml:space="preserve">Date of Joining</t>
  </si>
  <si>
    <t xml:space="preserve">05.08.2019</t>
  </si>
  <si>
    <t xml:space="preserve">EARNING</t>
  </si>
  <si>
    <t xml:space="preserve">Amount (Rs.)</t>
  </si>
  <si>
    <t xml:space="preserve">DEDUCTION</t>
  </si>
  <si>
    <t xml:space="preserve">Statutory Bonus</t>
  </si>
  <si>
    <t xml:space="preserve">TDS</t>
  </si>
  <si>
    <t xml:space="preserve">OTHERS</t>
  </si>
  <si>
    <t xml:space="preserve">GROSS</t>
  </si>
  <si>
    <t xml:space="preserve">RETIRAL BENEFITS</t>
  </si>
  <si>
    <t xml:space="preserve">EMPLOYER PF</t>
  </si>
  <si>
    <t xml:space="preserve">EMPLOYER ESIC</t>
  </si>
  <si>
    <t xml:space="preserve">Gratuity*</t>
  </si>
  <si>
    <t xml:space="preserve">CTC PM</t>
  </si>
  <si>
    <t xml:space="preserve">NET PAYABLE PM</t>
  </si>
  <si>
    <t xml:space="preserve">CTC ANNUAL</t>
  </si>
  <si>
    <t xml:space="preserve">NET ANNUAL</t>
  </si>
  <si>
    <t xml:space="preserve">* Gratuity amount would be payable only in accordance with the conditions as contained in The Payment of Gratuity Act 1972.</t>
  </si>
  <si>
    <t xml:space="preserve">Variable Salary : 20,000</t>
  </si>
  <si>
    <t xml:space="preserve">Target/Achievement</t>
  </si>
  <si>
    <t xml:space="preserve">Nil</t>
  </si>
  <si>
    <t xml:space="preserve">200001 to 500000</t>
  </si>
  <si>
    <t xml:space="preserve">PM</t>
  </si>
  <si>
    <t xml:space="preserve">500001 to 1000000</t>
  </si>
  <si>
    <t xml:space="preserve">1000000 to Above</t>
  </si>
  <si>
    <t xml:space="preserve">Remarks : Above valid for one year and will be calculated on quarterly basis.</t>
  </si>
  <si>
    <t xml:space="preserve">Annexure</t>
  </si>
  <si>
    <t xml:space="preserve">GROUP : CONSORTIUM E-LEARNING NETWORK PVT LTD</t>
  </si>
  <si>
    <t xml:space="preserve">Mr. Shipra Gupta</t>
  </si>
  <si>
    <t xml:space="preserve">01.06.2024</t>
  </si>
  <si>
    <t xml:space="preserve">Coneyance</t>
  </si>
  <si>
    <t xml:space="preserve">Special Allowances</t>
  </si>
  <si>
    <t xml:space="preserve">Professional Tax</t>
  </si>
  <si>
    <t xml:space="preserve">Total (A) GROSS</t>
  </si>
  <si>
    <t xml:space="preserve">Loan EMI</t>
  </si>
  <si>
    <t xml:space="preserve">Employer Contribution</t>
  </si>
  <si>
    <t xml:space="preserve">Total (B) </t>
  </si>
  <si>
    <t xml:space="preserve">Sec-10 Exemp/Perks</t>
  </si>
  <si>
    <t xml:space="preserve">Travelling </t>
  </si>
  <si>
    <t xml:space="preserve">Internet </t>
  </si>
  <si>
    <t xml:space="preserve">Total (C) </t>
  </si>
  <si>
    <t xml:space="preserve">Total Dedu.</t>
  </si>
  <si>
    <t xml:space="preserve">CTC Grant Gotal (A+B+C)</t>
  </si>
  <si>
    <t xml:space="preserve">Damini Sharma</t>
  </si>
  <si>
    <t xml:space="preserve">01.10.2024</t>
  </si>
  <si>
    <t xml:space="preserve">Designation</t>
  </si>
  <si>
    <t xml:space="preserve">Asstt. Program Coordinator</t>
  </si>
  <si>
    <t xml:space="preserve">Expense Reimbursement</t>
  </si>
  <si>
    <t xml:space="preserve">HEMA </t>
  </si>
  <si>
    <t xml:space="preserve">Annanya Uniyal</t>
  </si>
  <si>
    <t xml:space="preserve">01.08.2024</t>
  </si>
  <si>
    <t xml:space="preserve">Associate Editor</t>
  </si>
  <si>
    <t xml:space="preserve">PAYSLIP FOR THE MONTH  OF : JULY 2024</t>
  </si>
  <si>
    <t xml:space="preserve">CONFIDENTIAL</t>
  </si>
  <si>
    <t xml:space="preserve">Emp  Name</t>
  </si>
  <si>
    <t xml:space="preserve">ASAN KUMAR</t>
  </si>
  <si>
    <t xml:space="preserve">Total Working Days</t>
  </si>
  <si>
    <t xml:space="preserve">Total Days</t>
  </si>
  <si>
    <t xml:space="preserve">Designation: </t>
  </si>
  <si>
    <t xml:space="preserve">Manager, IT</t>
  </si>
  <si>
    <t xml:space="preserve">Amount 
(Rs.)</t>
  </si>
  <si>
    <t xml:space="preserve">Total (A+B+C)</t>
  </si>
  <si>
    <t xml:space="preserve">NET PAYABLE</t>
  </si>
  <si>
    <t xml:space="preserve">PAYSLIP FOR THE MONTH  OF : NOVEMBER 2024</t>
  </si>
  <si>
    <t xml:space="preserve">Manager QC</t>
  </si>
  <si>
    <t xml:space="preserve">PAYSLIP FOR THE MONTH  OF : MARCH  2025</t>
  </si>
  <si>
    <t xml:space="preserve">Month </t>
  </si>
  <si>
    <t xml:space="preserve">March 2025</t>
  </si>
  <si>
    <t xml:space="preserve">Web Developer</t>
  </si>
  <si>
    <r>
      <rPr>
        <sz val="11"/>
        <color rgb="FF000000"/>
        <rFont val="Calibri"/>
        <family val="2"/>
        <charset val="1"/>
      </rPr>
      <t xml:space="preserve">For </t>
    </r>
    <r>
      <rPr>
        <b val="true"/>
        <sz val="12"/>
        <rFont val="Century Schoolbook L"/>
        <family val="1"/>
        <charset val="1"/>
      </rPr>
      <t xml:space="preserve">Consortium e-Learning Network Private Limited</t>
    </r>
  </si>
  <si>
    <t xml:space="preserve"> </t>
  </si>
  <si>
    <t xml:space="preserve">(PUNEET MEHROTRA) </t>
  </si>
  <si>
    <t xml:space="preserve">MANAGING DIRECTOR</t>
  </si>
  <si>
    <t xml:space="preserve">PAYSLIP FOR THE MONTH  OF : FEBRUARY  2025</t>
  </si>
  <si>
    <t xml:space="preserve">February   2025</t>
  </si>
  <si>
    <t xml:space="preserve">basic +hra@12%</t>
  </si>
  <si>
    <t xml:space="preserve">Gross*0.75%</t>
  </si>
  <si>
    <t xml:space="preserve">Advance (21/02/2025)</t>
  </si>
  <si>
    <t xml:space="preserve">PAYSLIP FOR THE MONTH  OF : JANUARY  2025</t>
  </si>
  <si>
    <t xml:space="preserve">January 2025</t>
  </si>
  <si>
    <t xml:space="preserve">SALARY DETAILS COMPANYWSE FOR THE YEAR 2024-25</t>
  </si>
  <si>
    <t xml:space="preserve">Month</t>
  </si>
  <si>
    <t xml:space="preserve">Celnet</t>
  </si>
  <si>
    <t xml:space="preserve">Dhruv</t>
  </si>
  <si>
    <t xml:space="preserve">IT Break</t>
  </si>
  <si>
    <t xml:space="preserve">TOTAL (Rs.)</t>
  </si>
  <si>
    <t xml:space="preserve">April 24</t>
  </si>
  <si>
    <t xml:space="preserve">May 24</t>
  </si>
  <si>
    <t xml:space="preserve">June 24</t>
  </si>
  <si>
    <t xml:space="preserve">July 24</t>
  </si>
  <si>
    <t xml:space="preserve">Aug 24</t>
  </si>
  <si>
    <t xml:space="preserve">Sept 24</t>
  </si>
  <si>
    <t xml:space="preserve">Oct 24</t>
  </si>
  <si>
    <t xml:space="preserve">Nov 24</t>
  </si>
  <si>
    <t xml:space="preserve">Dec 24</t>
  </si>
  <si>
    <t xml:space="preserve">Jan 25</t>
  </si>
  <si>
    <t xml:space="preserve">Feb 25</t>
  </si>
  <si>
    <t xml:space="preserve">Mar 25</t>
  </si>
  <si>
    <t xml:space="preserve">Inclusive PF &amp; ESIC</t>
  </si>
  <si>
    <t xml:space="preserve">ATTENDANCE SHEET : __________________</t>
  </si>
  <si>
    <t xml:space="preserve">Name of Employee</t>
  </si>
  <si>
    <t xml:space="preserve">Time in </t>
  </si>
  <si>
    <t xml:space="preserve">Signature</t>
  </si>
  <si>
    <t xml:space="preserve">Time Out</t>
  </si>
  <si>
    <t xml:space="preserve">Mamchand Singh</t>
  </si>
  <si>
    <t xml:space="preserve">Sanjeev Singh</t>
  </si>
  <si>
    <t xml:space="preserve">Manish Harishankar</t>
  </si>
  <si>
    <t xml:space="preserve">Ravi Kumar</t>
  </si>
  <si>
    <t xml:space="preserve">Monika Tiwari</t>
  </si>
  <si>
    <t xml:space="preserve">Divya Dengry</t>
  </si>
  <si>
    <t xml:space="preserve">Ankita Srivastava</t>
  </si>
  <si>
    <t xml:space="preserve">Tanvi singh</t>
  </si>
  <si>
    <t xml:space="preserve">Priyanka Jaiswal</t>
  </si>
  <si>
    <t xml:space="preserve">Prerna Saxena</t>
  </si>
  <si>
    <t xml:space="preserve">Akshay Kumar</t>
  </si>
  <si>
    <t xml:space="preserve">Shivam Sharma</t>
  </si>
  <si>
    <t xml:space="preserve">Aditi Chauhan</t>
  </si>
  <si>
    <t xml:space="preserve">Shipra Gupta</t>
  </si>
  <si>
    <t xml:space="preserve">Payal</t>
  </si>
  <si>
    <t xml:space="preserve">Minakshi (Acts)</t>
  </si>
  <si>
    <t xml:space="preserve">Hema</t>
  </si>
  <si>
    <t xml:space="preserve">Tashi Gautam</t>
  </si>
  <si>
    <t xml:space="preserve">Parul Jaiswal</t>
  </si>
  <si>
    <t xml:space="preserve">GROUP : REINSTE NANO VENTURES PVT LTD</t>
  </si>
  <si>
    <t xml:space="preserve">SALARY PAYSLIP FOR THE MONTH  OF : JANUARY 2025</t>
  </si>
  <si>
    <t xml:space="preserve">MAMCHAND SINGH</t>
  </si>
  <si>
    <t xml:space="preserve">Manager Operations</t>
  </si>
  <si>
    <t xml:space="preserve">Total (A+B)</t>
  </si>
  <si>
    <t xml:space="preserve">REIMBURSEMENT CLAIM (January 2025)</t>
  </si>
  <si>
    <t xml:space="preserve">Total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</si>
</sst>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"/>
    <numFmt numFmtId="167" formatCode="mm/dd/yy"/>
    <numFmt numFmtId="168" formatCode="* #,##0.00\ ;* \(#,##0.00\);* \-#\ ;@\ "/>
    <numFmt numFmtId="169" formatCode="#,##0.0"/>
    <numFmt numFmtId="170" formatCode="&quot;TRUE&quot;;&quot;TRUE&quot;;&quot;FALSE&quot;"/>
    <numFmt numFmtId="171" formatCode="#,##0.00\ ;\(#,##0.00\)"/>
    <numFmt numFmtId="172" formatCode="General"/>
    <numFmt numFmtId="173" formatCode="0"/>
    <numFmt numFmtId="174" formatCode="0.00%"/>
    <numFmt numFmtId="175" formatCode="dd/mm/yy"/>
  </numFmts>
  <fonts count="4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entury Schoolbook L"/>
      <family val="1"/>
      <charset val="1"/>
    </font>
    <font>
      <sz val="10"/>
      <color rgb="FF000000"/>
      <name val="Calibri"/>
      <family val="2"/>
      <charset val="1"/>
    </font>
    <font>
      <sz val="10"/>
      <name val="Century Schoolbook L"/>
      <family val="1"/>
      <charset val="1"/>
    </font>
    <font>
      <b val="true"/>
      <sz val="10"/>
      <name val="Century Schoolbook L"/>
      <family val="1"/>
      <charset val="1"/>
    </font>
    <font>
      <b val="true"/>
      <sz val="9"/>
      <name val="Century Schoolbook L"/>
      <family val="1"/>
      <charset val="1"/>
    </font>
    <font>
      <b val="true"/>
      <sz val="10"/>
      <color rgb="FF000000"/>
      <name val="Century Schoolbook L"/>
      <family val="1"/>
      <charset val="1"/>
    </font>
    <font>
      <b val="true"/>
      <sz val="10"/>
      <name val="Times New Roman"/>
      <family val="1"/>
      <charset val="1"/>
    </font>
    <font>
      <sz val="1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3333"/>
      <name val="Century Schoolbook L"/>
      <family val="1"/>
      <charset val="1"/>
    </font>
    <font>
      <sz val="10"/>
      <color rgb="FFFF0066"/>
      <name val="Century Schoolbook L"/>
      <family val="1"/>
      <charset val="1"/>
    </font>
    <font>
      <sz val="10"/>
      <color rgb="FF000000"/>
      <name val="Arial"/>
      <family val="2"/>
      <charset val="1"/>
    </font>
    <font>
      <sz val="10"/>
      <name val="Century schoolbook"/>
      <family val="1"/>
      <charset val="1"/>
    </font>
    <font>
      <sz val="11"/>
      <color rgb="FF000000"/>
      <name val="Liberation Sans Narrow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0000"/>
      <name val="Century Schoolbook L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entury Schoolbook L"/>
      <family val="1"/>
      <charset val="1"/>
    </font>
    <font>
      <b val="true"/>
      <sz val="8"/>
      <name val="Century Schoolbook L"/>
      <family val="1"/>
      <charset val="1"/>
    </font>
    <font>
      <b val="true"/>
      <sz val="8"/>
      <color rgb="FF000000"/>
      <name val="Century Schoolbook L"/>
      <family val="1"/>
      <charset val="1"/>
    </font>
    <font>
      <sz val="9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mbria"/>
      <family val="1"/>
      <charset val="1"/>
    </font>
    <font>
      <sz val="7"/>
      <color rgb="FF000000"/>
      <name val="Calibri"/>
      <family val="2"/>
      <charset val="1"/>
    </font>
    <font>
      <b val="true"/>
      <sz val="7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Nimbus Sans"/>
      <family val="2"/>
      <charset val="1"/>
    </font>
    <font>
      <b val="true"/>
      <sz val="11"/>
      <color rgb="FF000000"/>
      <name val="Nimbus Sans"/>
      <family val="2"/>
      <charset val="1"/>
    </font>
    <font>
      <u val="single"/>
      <sz val="11"/>
      <color rgb="FF000000"/>
      <name val="Nimbus Sans"/>
      <family val="2"/>
      <charset val="1"/>
    </font>
    <font>
      <sz val="11"/>
      <name val="Nimbus Sans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b val="true"/>
      <sz val="12"/>
      <name val="Century Schoolbook L"/>
      <family val="1"/>
      <charset val="1"/>
    </font>
    <font>
      <sz val="10"/>
      <color rgb="FF000000"/>
      <name val="Nimbus Sans"/>
      <family val="2"/>
      <charset val="1"/>
    </font>
    <font>
      <sz val="10"/>
      <name val="Nimbus Sans"/>
      <family val="2"/>
      <charset val="1"/>
    </font>
    <font>
      <sz val="10"/>
      <color rgb="FF333333"/>
      <name val="Nimbus Sans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6600"/>
        <bgColor rgb="FFFF9900"/>
      </patternFill>
    </fill>
    <fill>
      <patternFill patternType="solid">
        <fgColor rgb="FFFFFFD7"/>
        <bgColor rgb="FFFFFFCC"/>
      </patternFill>
    </fill>
    <fill>
      <patternFill patternType="solid">
        <fgColor rgb="FFE8F2A1"/>
        <bgColor rgb="FFFFFFA6"/>
      </patternFill>
    </fill>
    <fill>
      <patternFill patternType="solid">
        <fgColor rgb="FFCCCCCC"/>
        <bgColor rgb="FFDDD9C3"/>
      </patternFill>
    </fill>
    <fill>
      <patternFill patternType="solid">
        <fgColor rgb="FFFFFFFF"/>
        <bgColor rgb="FFFFFFD7"/>
      </patternFill>
    </fill>
    <fill>
      <patternFill patternType="solid">
        <fgColor rgb="FF81D41A"/>
        <bgColor rgb="FFB2B2B2"/>
      </patternFill>
    </fill>
    <fill>
      <patternFill patternType="solid">
        <fgColor rgb="FFB2B2B2"/>
        <bgColor rgb="FFCCCCCC"/>
      </patternFill>
    </fill>
    <fill>
      <patternFill patternType="solid">
        <fgColor rgb="FFF6F9D4"/>
        <bgColor rgb="FFFFFFD7"/>
      </patternFill>
    </fill>
    <fill>
      <patternFill patternType="solid">
        <fgColor rgb="FFFFFFCC"/>
        <bgColor rgb="FFFFFFD7"/>
      </patternFill>
    </fill>
    <fill>
      <patternFill patternType="solid">
        <fgColor rgb="FFFFFFA6"/>
        <bgColor rgb="FFFFFF99"/>
      </patternFill>
    </fill>
    <fill>
      <patternFill patternType="solid">
        <fgColor rgb="FFFFFF00"/>
        <bgColor rgb="FFFFCC00"/>
      </patternFill>
    </fill>
    <fill>
      <patternFill patternType="solid">
        <fgColor rgb="FFFFDBB6"/>
        <bgColor rgb="FFDDD9C3"/>
      </patternFill>
    </fill>
    <fill>
      <patternFill patternType="solid">
        <fgColor rgb="FFFFFF99"/>
        <bgColor rgb="FFFFFFA6"/>
      </patternFill>
    </fill>
    <fill>
      <patternFill patternType="solid">
        <fgColor rgb="FFDDD9C3"/>
        <bgColor rgb="FFCCCC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thick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ck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5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5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5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3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4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6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3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6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9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7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7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8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8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9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6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4" fillId="0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8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4" fillId="10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6" fillId="8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8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7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7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7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7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7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7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7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4" fillId="11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6" fillId="3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7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4" fillId="6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6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6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6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6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6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7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1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2" fontId="4" fillId="1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4" fillId="1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2" fontId="9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5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1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7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4" fillId="15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15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4" fillId="1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" fillId="1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" fillId="3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9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7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6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6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3" fillId="15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4" fillId="1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1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3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3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8" fillId="0" borderId="1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37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2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38" fillId="0" borderId="2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37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7" fillId="0" borderId="2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7" fillId="0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0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8" fillId="0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2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3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3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7" fillId="6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6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66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FF3333"/>
      <rgbColor rgb="FFFFFFCC"/>
      <rgbColor rgb="FFF6F9D4"/>
      <rgbColor rgb="FF660066"/>
      <rgbColor rgb="FFFF8080"/>
      <rgbColor rgb="FF0066CC"/>
      <rgbColor rgb="FFDDD9C3"/>
      <rgbColor rgb="FF000080"/>
      <rgbColor rgb="FFFF00FF"/>
      <rgbColor rgb="FFFFFFA6"/>
      <rgbColor rgb="FF00FFFF"/>
      <rgbColor rgb="FF800080"/>
      <rgbColor rgb="FF800000"/>
      <rgbColor rgb="FF008080"/>
      <rgbColor rgb="FF0000FF"/>
      <rgbColor rgb="FF00CCFF"/>
      <rgbColor rgb="FFFFFFD7"/>
      <rgbColor rgb="FFE8F2A1"/>
      <rgbColor rgb="FFFFFF99"/>
      <rgbColor rgb="FF99CCFF"/>
      <rgbColor rgb="FFFF99CC"/>
      <rgbColor rgb="FFCC99FF"/>
      <rgbColor rgb="FFFFDBB6"/>
      <rgbColor rgb="FF3366FF"/>
      <rgbColor rgb="FF33CCCC"/>
      <rgbColor rgb="FF81D41A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S10" activeCellId="0" sqref="S10"/>
    </sheetView>
  </sheetViews>
  <sheetFormatPr defaultColWidth="11.72265625" defaultRowHeight="13.8" zeroHeight="false" outlineLevelRow="0" outlineLevelCol="0"/>
  <cols>
    <col collapsed="false" customWidth="true" hidden="false" outlineLevel="0" max="1" min="1" style="1" width="4.73"/>
    <col collapsed="false" customWidth="true" hidden="false" outlineLevel="0" max="2" min="2" style="1" width="5.7"/>
    <col collapsed="false" customWidth="true" hidden="false" outlineLevel="0" max="3" min="3" style="1" width="22.92"/>
    <col collapsed="false" customWidth="true" hidden="false" outlineLevel="0" max="4" min="4" style="2" width="9.6"/>
    <col collapsed="false" customWidth="true" hidden="false" outlineLevel="0" max="5" min="5" style="1" width="10.58"/>
    <col collapsed="false" customWidth="true" hidden="false" outlineLevel="0" max="6" min="6" style="1" width="12.79"/>
    <col collapsed="false" customWidth="true" hidden="false" outlineLevel="0" max="7" min="7" style="1" width="12.05"/>
    <col collapsed="false" customWidth="true" hidden="false" outlineLevel="0" max="8" min="8" style="1" width="10.58"/>
    <col collapsed="false" customWidth="true" hidden="false" outlineLevel="0" max="9" min="9" style="1" width="10.98"/>
    <col collapsed="false" customWidth="true" hidden="false" outlineLevel="0" max="10" min="10" style="1" width="11.28"/>
    <col collapsed="false" customWidth="true" hidden="false" outlineLevel="0" max="11" min="11" style="1" width="11.9"/>
    <col collapsed="false" customWidth="true" hidden="false" outlineLevel="0" max="12" min="12" style="1" width="10.71"/>
    <col collapsed="false" customWidth="true" hidden="false" outlineLevel="0" max="13" min="13" style="1" width="9.13"/>
    <col collapsed="false" customWidth="true" hidden="false" outlineLevel="0" max="14" min="14" style="1" width="12.51"/>
    <col collapsed="false" customWidth="true" hidden="false" outlineLevel="0" max="15" min="15" style="1" width="9.13"/>
    <col collapsed="false" customWidth="true" hidden="false" outlineLevel="0" max="16" min="16" style="1" width="11.96"/>
    <col collapsed="false" customWidth="true" hidden="false" outlineLevel="0" max="17" min="17" style="3" width="9.44"/>
    <col collapsed="false" customWidth="true" hidden="false" outlineLevel="0" max="18" min="18" style="1" width="10.01"/>
    <col collapsed="false" customWidth="true" hidden="false" outlineLevel="0" max="19" min="19" style="1" width="13.36"/>
    <col collapsed="false" customWidth="true" hidden="false" outlineLevel="0" max="20" min="20" style="1" width="10.84"/>
    <col collapsed="false" customWidth="true" hidden="false" outlineLevel="0" max="21" min="21" style="1" width="9.06"/>
    <col collapsed="false" customWidth="true" hidden="false" outlineLevel="0" max="22" min="22" style="1" width="9.6"/>
    <col collapsed="false" customWidth="true" hidden="false" outlineLevel="0" max="23" min="23" style="1" width="12.9"/>
    <col collapsed="false" customWidth="true" hidden="false" outlineLevel="0" max="24" min="24" style="1" width="9.87"/>
    <col collapsed="false" customWidth="true" hidden="false" outlineLevel="0" max="25" min="25" style="1" width="8.9"/>
    <col collapsed="false" customWidth="true" hidden="false" outlineLevel="0" max="26" min="26" style="1" width="12.23"/>
    <col collapsed="false" customWidth="true" hidden="false" outlineLevel="0" max="27" min="27" style="1" width="10.15"/>
    <col collapsed="false" customWidth="true" hidden="false" outlineLevel="0" max="28" min="28" style="1" width="13.22"/>
    <col collapsed="false" customWidth="true" hidden="false" outlineLevel="0" max="29" min="29" style="1" width="13.36"/>
    <col collapsed="false" customWidth="true" hidden="false" outlineLevel="0" max="30" min="30" style="1" width="13.06"/>
    <col collapsed="false" customWidth="true" hidden="false" outlineLevel="0" max="31" min="31" style="2" width="22.24"/>
    <col collapsed="false" customWidth="true" hidden="false" outlineLevel="0" max="32" min="32" style="1" width="19.17"/>
    <col collapsed="false" customWidth="true" hidden="false" outlineLevel="0" max="33" min="33" style="1" width="23.61"/>
    <col collapsed="false" customWidth="false" hidden="false" outlineLevel="0" max="1012" min="34" style="1" width="11.71"/>
  </cols>
  <sheetData>
    <row r="1" customFormat="false" ht="13.8" hidden="false" customHeight="false" outlineLevel="0" collapsed="false">
      <c r="A1" s="4"/>
      <c r="B1" s="4"/>
      <c r="C1" s="4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6"/>
      <c r="P1" s="4"/>
      <c r="Q1" s="7" t="n">
        <v>31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4"/>
      <c r="AG1" s="4"/>
      <c r="AH1" s="4"/>
      <c r="AI1" s="4"/>
      <c r="AJ1" s="4"/>
      <c r="AL1" s="4"/>
    </row>
    <row r="2" customFormat="false" ht="13.8" hidden="false" customHeight="false" outlineLevel="0" collapsed="false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8" t="s">
        <v>0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9"/>
      <c r="AD2" s="10"/>
      <c r="AE2" s="5"/>
      <c r="AF2" s="4"/>
      <c r="AG2" s="4"/>
      <c r="AH2" s="4"/>
      <c r="AI2" s="4"/>
      <c r="AJ2" s="4"/>
      <c r="AL2" s="4"/>
    </row>
    <row r="3" customFormat="false" ht="13.8" hidden="false" customHeight="false" outlineLevel="0" collapsed="false">
      <c r="A3" s="11"/>
      <c r="B3" s="12"/>
      <c r="C3" s="13"/>
      <c r="D3" s="14"/>
      <c r="E3" s="12"/>
      <c r="F3" s="15" t="s">
        <v>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6" t="s">
        <v>2</v>
      </c>
      <c r="R3" s="17"/>
      <c r="S3" s="17"/>
      <c r="T3" s="17"/>
      <c r="U3" s="17"/>
      <c r="V3" s="17"/>
      <c r="W3" s="17"/>
      <c r="X3" s="17"/>
      <c r="Y3" s="16" t="s">
        <v>3</v>
      </c>
      <c r="Z3" s="16"/>
      <c r="AA3" s="16"/>
      <c r="AB3" s="16"/>
      <c r="AC3" s="18"/>
      <c r="AD3" s="19"/>
      <c r="AE3" s="5"/>
      <c r="AF3" s="4"/>
      <c r="AG3" s="4"/>
      <c r="AH3" s="4"/>
      <c r="AI3" s="4"/>
      <c r="AJ3" s="4"/>
      <c r="AL3" s="4"/>
    </row>
    <row r="4" customFormat="false" ht="35.05" hidden="false" customHeight="false" outlineLevel="0" collapsed="false">
      <c r="A4" s="20" t="s">
        <v>4</v>
      </c>
      <c r="B4" s="21" t="s">
        <v>5</v>
      </c>
      <c r="C4" s="21" t="s">
        <v>6</v>
      </c>
      <c r="D4" s="22" t="s">
        <v>7</v>
      </c>
      <c r="E4" s="21" t="s">
        <v>8</v>
      </c>
      <c r="F4" s="21" t="s">
        <v>9</v>
      </c>
      <c r="G4" s="21" t="s">
        <v>10</v>
      </c>
      <c r="H4" s="21" t="s">
        <v>11</v>
      </c>
      <c r="I4" s="21" t="s">
        <v>12</v>
      </c>
      <c r="J4" s="21" t="s">
        <v>13</v>
      </c>
      <c r="K4" s="21" t="s">
        <v>14</v>
      </c>
      <c r="L4" s="21" t="s">
        <v>15</v>
      </c>
      <c r="M4" s="21" t="s">
        <v>16</v>
      </c>
      <c r="N4" s="21" t="s">
        <v>17</v>
      </c>
      <c r="O4" s="21" t="s">
        <v>18</v>
      </c>
      <c r="P4" s="21" t="s">
        <v>19</v>
      </c>
      <c r="Q4" s="23" t="s">
        <v>20</v>
      </c>
      <c r="R4" s="24" t="s">
        <v>21</v>
      </c>
      <c r="S4" s="24" t="s">
        <v>10</v>
      </c>
      <c r="T4" s="24" t="s">
        <v>11</v>
      </c>
      <c r="U4" s="25" t="s">
        <v>12</v>
      </c>
      <c r="V4" s="25" t="s">
        <v>13</v>
      </c>
      <c r="W4" s="26" t="s">
        <v>22</v>
      </c>
      <c r="X4" s="24" t="s">
        <v>23</v>
      </c>
      <c r="Y4" s="24" t="s">
        <v>24</v>
      </c>
      <c r="Z4" s="24" t="s">
        <v>25</v>
      </c>
      <c r="AA4" s="24" t="s">
        <v>26</v>
      </c>
      <c r="AB4" s="27" t="s">
        <v>27</v>
      </c>
      <c r="AC4" s="24" t="s">
        <v>28</v>
      </c>
      <c r="AD4" s="28" t="s">
        <v>29</v>
      </c>
      <c r="AE4" s="29" t="s">
        <v>30</v>
      </c>
      <c r="AF4" s="4"/>
      <c r="AG4" s="4"/>
      <c r="AH4" s="4"/>
      <c r="AI4" s="4"/>
      <c r="AJ4" s="4"/>
      <c r="AL4" s="4"/>
    </row>
    <row r="5" customFormat="false" ht="13.8" hidden="false" customHeight="false" outlineLevel="0" collapsed="false">
      <c r="A5" s="4"/>
      <c r="B5" s="30"/>
      <c r="C5" s="31" t="s">
        <v>31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3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5"/>
      <c r="AD5" s="36"/>
      <c r="AE5" s="29"/>
      <c r="AF5" s="4"/>
      <c r="AH5" s="4"/>
      <c r="AI5" s="4"/>
      <c r="AJ5" s="4"/>
      <c r="AL5" s="4"/>
    </row>
    <row r="6" customFormat="false" ht="13.8" hidden="false" customHeight="false" outlineLevel="0" collapsed="false">
      <c r="A6" s="37"/>
      <c r="B6" s="38" t="n">
        <v>1</v>
      </c>
      <c r="C6" s="39" t="s">
        <v>32</v>
      </c>
      <c r="D6" s="40" t="s">
        <v>33</v>
      </c>
      <c r="E6" s="41" t="s">
        <v>31</v>
      </c>
      <c r="F6" s="42" t="n">
        <f aca="false">K6/2</f>
        <v>7189.5</v>
      </c>
      <c r="G6" s="42" t="n">
        <f aca="false">ROUND(+F6*0.5,0)</f>
        <v>3595</v>
      </c>
      <c r="H6" s="42" t="n">
        <v>1600</v>
      </c>
      <c r="I6" s="42" t="n">
        <f aca="false">+F6*0.09</f>
        <v>647.055</v>
      </c>
      <c r="J6" s="42" t="n">
        <f aca="false">K6-F6-G6-I6-H6</f>
        <v>1347.445</v>
      </c>
      <c r="K6" s="43" t="n">
        <f aca="false">12629+750+1000</f>
        <v>14379</v>
      </c>
      <c r="L6" s="44" t="n">
        <f aca="false">ROUND((K6-G6)*0.12,0)</f>
        <v>1294</v>
      </c>
      <c r="M6" s="45"/>
      <c r="N6" s="46" t="n">
        <f aca="false">+K6+L6+M6</f>
        <v>15673</v>
      </c>
      <c r="O6" s="46"/>
      <c r="P6" s="46" t="n">
        <f aca="false">+O6+N6</f>
        <v>15673</v>
      </c>
      <c r="Q6" s="47" t="n">
        <v>31</v>
      </c>
      <c r="R6" s="48" t="n">
        <f aca="false">ROUND(F6/$Q$1*Q6,0)</f>
        <v>7190</v>
      </c>
      <c r="S6" s="48" t="n">
        <f aca="false">ROUND(G6/$Q$1*Q6,0)</f>
        <v>3595</v>
      </c>
      <c r="T6" s="48" t="n">
        <f aca="false">ROUND(H6/$Q$1*Q6,0)</f>
        <v>1600</v>
      </c>
      <c r="U6" s="48" t="n">
        <f aca="false">ROUND(I6/$Q$1*Q6,0)</f>
        <v>647</v>
      </c>
      <c r="V6" s="48" t="n">
        <f aca="false">ROUND(J6/$Q$1*Q6,0)</f>
        <v>1347</v>
      </c>
      <c r="W6" s="48"/>
      <c r="X6" s="48" t="n">
        <f aca="false">SUM(R6:V6)</f>
        <v>14379</v>
      </c>
      <c r="Y6" s="48" t="n">
        <f aca="false">MIN(1800,IF(L6&gt;0,ROUND((X6-S6)*0.12,0),0))</f>
        <v>1294</v>
      </c>
      <c r="Z6" s="48" t="n">
        <f aca="false">+IF(M6&gt;0,ROUNDUP((X6)*0.0175,0),0)</f>
        <v>0</v>
      </c>
      <c r="AA6" s="48" t="n">
        <v>5000</v>
      </c>
      <c r="AB6" s="48" t="n">
        <f aca="false">+SUM(Y6:AA6)</f>
        <v>6294</v>
      </c>
      <c r="AC6" s="48" t="n">
        <f aca="false">+X6-AB6+W6</f>
        <v>8085</v>
      </c>
      <c r="AD6" s="49" t="n">
        <f aca="false">'Expenses '!AC6</f>
        <v>1500</v>
      </c>
      <c r="AE6" s="50"/>
      <c r="AG6" s="51"/>
      <c r="AH6" s="4"/>
      <c r="AI6" s="4"/>
      <c r="AJ6" s="52"/>
      <c r="AL6" s="4"/>
    </row>
    <row r="7" customFormat="false" ht="13.8" hidden="false" customHeight="false" outlineLevel="0" collapsed="false">
      <c r="A7" s="37"/>
      <c r="B7" s="38" t="n">
        <v>2</v>
      </c>
      <c r="C7" s="53" t="s">
        <v>34</v>
      </c>
      <c r="D7" s="54" t="s">
        <v>35</v>
      </c>
      <c r="E7" s="41" t="s">
        <v>31</v>
      </c>
      <c r="F7" s="42" t="n">
        <f aca="false">K7/2</f>
        <v>20000</v>
      </c>
      <c r="G7" s="42" t="n">
        <f aca="false">ROUND(+F7*0.5,0)</f>
        <v>10000</v>
      </c>
      <c r="H7" s="42" t="n">
        <v>1601</v>
      </c>
      <c r="I7" s="42" t="n">
        <f aca="false">+F7*0.09</f>
        <v>1800</v>
      </c>
      <c r="J7" s="42" t="n">
        <f aca="false">K7-F7-G7-I7-H7</f>
        <v>6599</v>
      </c>
      <c r="K7" s="42" t="n">
        <v>40000</v>
      </c>
      <c r="L7" s="44"/>
      <c r="M7" s="45"/>
      <c r="N7" s="46" t="n">
        <f aca="false">+K7+L7+M7</f>
        <v>40000</v>
      </c>
      <c r="O7" s="46"/>
      <c r="P7" s="46" t="n">
        <f aca="false">+O7+N7</f>
        <v>40000</v>
      </c>
      <c r="Q7" s="47" t="n">
        <v>23.5</v>
      </c>
      <c r="R7" s="48" t="n">
        <f aca="false">ROUND(F7/$Q$1*Q7,0)</f>
        <v>15161</v>
      </c>
      <c r="S7" s="48" t="n">
        <f aca="false">ROUND(G7/$Q$1*Q7,0)</f>
        <v>7581</v>
      </c>
      <c r="T7" s="48" t="n">
        <f aca="false">ROUND(H7/$Q$1*Q7,0)</f>
        <v>1214</v>
      </c>
      <c r="U7" s="48" t="n">
        <f aca="false">ROUND(I7/$Q$1*Q7,0)</f>
        <v>1365</v>
      </c>
      <c r="V7" s="48" t="n">
        <f aca="false">ROUND(J7/$Q$1*Q7,0)</f>
        <v>5002</v>
      </c>
      <c r="W7" s="55" t="n">
        <v>589</v>
      </c>
      <c r="X7" s="48" t="n">
        <f aca="false">SUM(R7:V7)</f>
        <v>30323</v>
      </c>
      <c r="Y7" s="48"/>
      <c r="Z7" s="48"/>
      <c r="AA7" s="48"/>
      <c r="AB7" s="48" t="n">
        <f aca="false">+SUM(Y7:AA7)</f>
        <v>0</v>
      </c>
      <c r="AC7" s="48" t="n">
        <f aca="false">+X7-AB7+W7</f>
        <v>30912</v>
      </c>
      <c r="AD7" s="49"/>
      <c r="AE7" s="56"/>
      <c r="AG7" s="51"/>
      <c r="AH7" s="4"/>
      <c r="AI7" s="4"/>
      <c r="AJ7" s="52"/>
      <c r="AL7" s="4"/>
    </row>
    <row r="8" customFormat="false" ht="13.8" hidden="false" customHeight="false" outlineLevel="0" collapsed="false">
      <c r="A8" s="37"/>
      <c r="B8" s="38" t="n">
        <v>3</v>
      </c>
      <c r="C8" s="39" t="s">
        <v>36</v>
      </c>
      <c r="D8" s="40" t="s">
        <v>37</v>
      </c>
      <c r="E8" s="41" t="s">
        <v>31</v>
      </c>
      <c r="F8" s="42" t="n">
        <f aca="false">K8/2</f>
        <v>9000</v>
      </c>
      <c r="G8" s="42" t="n">
        <f aca="false">ROUND(+F8*0.5,0)</f>
        <v>4500</v>
      </c>
      <c r="H8" s="42" t="n">
        <v>1600</v>
      </c>
      <c r="I8" s="42" t="n">
        <f aca="false">+F8*0.09</f>
        <v>810</v>
      </c>
      <c r="J8" s="42" t="n">
        <f aca="false">K8-F8-G8-I8-H8</f>
        <v>2090</v>
      </c>
      <c r="K8" s="43" t="n">
        <v>18000</v>
      </c>
      <c r="L8" s="44" t="n">
        <f aca="false">ROUND((K8-G8)*0.12,0)</f>
        <v>1620</v>
      </c>
      <c r="M8" s="45"/>
      <c r="N8" s="46" t="n">
        <f aca="false">+K8+L8+M8</f>
        <v>19620</v>
      </c>
      <c r="O8" s="46"/>
      <c r="P8" s="46" t="n">
        <f aca="false">+O8+N8</f>
        <v>19620</v>
      </c>
      <c r="Q8" s="47" t="n">
        <v>28</v>
      </c>
      <c r="R8" s="48" t="n">
        <f aca="false">ROUND(F8/$Q$1*Q8,0)</f>
        <v>8129</v>
      </c>
      <c r="S8" s="48" t="n">
        <f aca="false">ROUND(G8/$Q$1*Q8,0)</f>
        <v>4065</v>
      </c>
      <c r="T8" s="48" t="n">
        <f aca="false">ROUND(H8/$Q$1*Q8,0)</f>
        <v>1445</v>
      </c>
      <c r="U8" s="48" t="n">
        <f aca="false">ROUND(I8/$Q$1*Q8,0)</f>
        <v>732</v>
      </c>
      <c r="V8" s="48" t="n">
        <f aca="false">ROUND(J8/$Q$1*Q8,0)</f>
        <v>1888</v>
      </c>
      <c r="W8" s="48" t="n">
        <v>6000</v>
      </c>
      <c r="X8" s="48" t="n">
        <f aca="false">SUM(R8:V8)</f>
        <v>16259</v>
      </c>
      <c r="Y8" s="48" t="n">
        <f aca="false">MIN(1800,IF(L8&gt;0,ROUND((X8-S8)*0.12,0),0))</f>
        <v>1463</v>
      </c>
      <c r="Z8" s="48" t="n">
        <f aca="false">+IF(M8&gt;0,ROUNDUP((X8)*0.0175,0),0)</f>
        <v>0</v>
      </c>
      <c r="AA8" s="48"/>
      <c r="AB8" s="48" t="n">
        <f aca="false">+SUM(Y8:AA8)</f>
        <v>1463</v>
      </c>
      <c r="AC8" s="48" t="n">
        <f aca="false">+X8-AB8+W8</f>
        <v>20796</v>
      </c>
      <c r="AD8" s="49"/>
      <c r="AE8" s="57" t="s">
        <v>38</v>
      </c>
      <c r="AG8" s="51"/>
      <c r="AH8" s="4"/>
      <c r="AI8" s="4"/>
      <c r="AJ8" s="4"/>
      <c r="AL8" s="4"/>
    </row>
    <row r="9" customFormat="false" ht="13.8" hidden="false" customHeight="false" outlineLevel="0" collapsed="false">
      <c r="A9" s="4"/>
      <c r="B9" s="38"/>
      <c r="C9" s="58"/>
      <c r="D9" s="59"/>
      <c r="E9" s="30" t="s">
        <v>39</v>
      </c>
      <c r="F9" s="60" t="n">
        <f aca="false">SUM(F6:F8)</f>
        <v>36189.5</v>
      </c>
      <c r="G9" s="60" t="n">
        <f aca="false">SUM(G6:G8)</f>
        <v>18095</v>
      </c>
      <c r="H9" s="60" t="n">
        <f aca="false">SUM(H6:H8)</f>
        <v>4801</v>
      </c>
      <c r="I9" s="60" t="n">
        <f aca="false">SUM(I6:I8)</f>
        <v>3257.055</v>
      </c>
      <c r="J9" s="60" t="n">
        <f aca="false">SUM(J6:J8)</f>
        <v>10036.445</v>
      </c>
      <c r="K9" s="60" t="n">
        <f aca="false">SUM(K6:K8)</f>
        <v>72379</v>
      </c>
      <c r="L9" s="60" t="n">
        <f aca="false">SUM(L6:L8)</f>
        <v>2914</v>
      </c>
      <c r="M9" s="60" t="n">
        <f aca="false">SUM(M6:M7)</f>
        <v>0</v>
      </c>
      <c r="N9" s="60" t="n">
        <f aca="false">SUM(N6:N8)</f>
        <v>75293</v>
      </c>
      <c r="O9" s="60" t="n">
        <f aca="false">SUM(O6:O7)</f>
        <v>0</v>
      </c>
      <c r="P9" s="60" t="n">
        <f aca="false">SUM(P6:P8)</f>
        <v>75293</v>
      </c>
      <c r="Q9" s="60"/>
      <c r="R9" s="60" t="n">
        <f aca="false">SUM(R6:R8)</f>
        <v>30480</v>
      </c>
      <c r="S9" s="60" t="n">
        <f aca="false">SUM(S6:S8)</f>
        <v>15241</v>
      </c>
      <c r="T9" s="60" t="n">
        <f aca="false">SUM(T6:T8)</f>
        <v>4259</v>
      </c>
      <c r="U9" s="60" t="n">
        <f aca="false">SUM(U6:U8)</f>
        <v>2744</v>
      </c>
      <c r="V9" s="60" t="n">
        <f aca="false">SUM(V6:V8)</f>
        <v>8237</v>
      </c>
      <c r="W9" s="60" t="n">
        <f aca="false">SUM(W6:W8)</f>
        <v>6589</v>
      </c>
      <c r="X9" s="60" t="n">
        <f aca="false">SUM(X6:X8)</f>
        <v>60961</v>
      </c>
      <c r="Y9" s="60" t="n">
        <f aca="false">SUM(Y6:Y8)</f>
        <v>2757</v>
      </c>
      <c r="Z9" s="60" t="n">
        <f aca="false">SUM(Z6:Z7)</f>
        <v>0</v>
      </c>
      <c r="AA9" s="60" t="n">
        <f aca="false">SUM(AA6:AA8)</f>
        <v>5000</v>
      </c>
      <c r="AB9" s="60" t="n">
        <f aca="false">SUM(AB6:AB8)</f>
        <v>7757</v>
      </c>
      <c r="AC9" s="60" t="n">
        <f aca="false">SUM(AC6:AC8)</f>
        <v>59793</v>
      </c>
      <c r="AD9" s="60" t="n">
        <f aca="false">SUM(AD6:AD8)</f>
        <v>1500</v>
      </c>
      <c r="AE9" s="61" t="n">
        <f aca="false">AC9+AD9</f>
        <v>61293</v>
      </c>
      <c r="AG9" s="4"/>
      <c r="AH9" s="4"/>
      <c r="AI9" s="4"/>
      <c r="AJ9" s="4"/>
      <c r="AL9" s="4"/>
    </row>
    <row r="10" customFormat="false" ht="13.8" hidden="false" customHeight="false" outlineLevel="0" collapsed="false">
      <c r="A10" s="37"/>
      <c r="B10" s="30"/>
      <c r="C10" s="62" t="s">
        <v>40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63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5"/>
      <c r="AD10" s="66"/>
      <c r="AE10" s="59"/>
      <c r="AG10" s="4"/>
      <c r="AH10" s="4"/>
      <c r="AI10" s="4"/>
      <c r="AJ10" s="4"/>
      <c r="AL10" s="4"/>
    </row>
    <row r="11" customFormat="false" ht="13.8" hidden="false" customHeight="false" outlineLevel="0" collapsed="false">
      <c r="A11" s="37"/>
      <c r="B11" s="38" t="n">
        <v>1</v>
      </c>
      <c r="C11" s="67" t="s">
        <v>41</v>
      </c>
      <c r="D11" s="68" t="s">
        <v>42</v>
      </c>
      <c r="E11" s="69" t="s">
        <v>43</v>
      </c>
      <c r="F11" s="70" t="n">
        <f aca="false">K11/2</f>
        <v>19144.5</v>
      </c>
      <c r="G11" s="70" t="n">
        <f aca="false">ROUND(+F11*0.5,0)</f>
        <v>9572</v>
      </c>
      <c r="H11" s="70" t="n">
        <v>1600</v>
      </c>
      <c r="I11" s="70" t="n">
        <f aca="false">+F11*0.09</f>
        <v>1723.005</v>
      </c>
      <c r="J11" s="70" t="n">
        <f aca="false">K11-F11-G11-I11-H11</f>
        <v>6249.495</v>
      </c>
      <c r="K11" s="70" t="n">
        <f aca="false">27789+4500+2000+4000</f>
        <v>38289</v>
      </c>
      <c r="L11" s="71" t="n">
        <v>1800</v>
      </c>
      <c r="M11" s="45" t="n">
        <f aca="false">IF(K11&gt;21000,0,ROUND(K11*0.0325,0))</f>
        <v>0</v>
      </c>
      <c r="N11" s="46" t="n">
        <f aca="false">+K11+L11+M11</f>
        <v>40089</v>
      </c>
      <c r="O11" s="46"/>
      <c r="P11" s="46" t="n">
        <f aca="false">+O11+N11</f>
        <v>40089</v>
      </c>
      <c r="Q11" s="47" t="n">
        <v>31</v>
      </c>
      <c r="R11" s="48" t="n">
        <f aca="false">ROUND(F11/$Q$1*Q11,0)</f>
        <v>19145</v>
      </c>
      <c r="S11" s="48" t="n">
        <f aca="false">ROUND(G11/$Q$1*Q11,0)</f>
        <v>9572</v>
      </c>
      <c r="T11" s="48" t="n">
        <f aca="false">ROUND(H11/$Q$1*Q11,0)</f>
        <v>1600</v>
      </c>
      <c r="U11" s="48" t="n">
        <f aca="false">ROUND(I11/$Q$1*Q11,0)</f>
        <v>1723</v>
      </c>
      <c r="V11" s="48" t="n">
        <f aca="false">ROUND(J11/$Q$1*Q11,0)</f>
        <v>6249</v>
      </c>
      <c r="W11" s="48"/>
      <c r="X11" s="48" t="n">
        <f aca="false">SUM(R11:V11)</f>
        <v>38289</v>
      </c>
      <c r="Y11" s="48" t="n">
        <f aca="false">MIN(1800,IF(L11&gt;0,ROUND((X11-S11)*0.12,0),0))</f>
        <v>1800</v>
      </c>
      <c r="Z11" s="48" t="n">
        <f aca="false">+IF(M11&gt;0,ROUNDUP((X11)*0.0075,0),0)</f>
        <v>0</v>
      </c>
      <c r="AA11" s="48"/>
      <c r="AB11" s="48" t="n">
        <f aca="false">+SUM(Y11:AA11)</f>
        <v>1800</v>
      </c>
      <c r="AC11" s="72" t="n">
        <f aca="false">+X11-AB11+W11</f>
        <v>36489</v>
      </c>
      <c r="AD11" s="72" t="n">
        <f aca="false">'Expenses '!AC9</f>
        <v>6500</v>
      </c>
      <c r="AE11" s="73"/>
      <c r="AH11" s="4"/>
      <c r="AL11" s="4"/>
    </row>
    <row r="12" customFormat="false" ht="13.8" hidden="false" customHeight="false" outlineLevel="0" collapsed="false">
      <c r="A12" s="37"/>
      <c r="B12" s="38" t="n">
        <v>2</v>
      </c>
      <c r="C12" s="74" t="s">
        <v>44</v>
      </c>
      <c r="D12" s="75" t="s">
        <v>45</v>
      </c>
      <c r="E12" s="69" t="s">
        <v>43</v>
      </c>
      <c r="F12" s="70" t="n">
        <f aca="false">K12/2</f>
        <v>11750.5</v>
      </c>
      <c r="G12" s="70" t="n">
        <f aca="false">ROUND(+F12*0.5,0)</f>
        <v>5875</v>
      </c>
      <c r="H12" s="70" t="n">
        <v>1600</v>
      </c>
      <c r="I12" s="70" t="n">
        <f aca="false">+F12*0.09</f>
        <v>1057.545</v>
      </c>
      <c r="J12" s="70" t="n">
        <f aca="false">K12-F12-G12-I12-H12</f>
        <v>3217.955</v>
      </c>
      <c r="K12" s="70" t="n">
        <f aca="false">21001+2500</f>
        <v>23501</v>
      </c>
      <c r="L12" s="71" t="n">
        <v>1800</v>
      </c>
      <c r="M12" s="45"/>
      <c r="N12" s="46" t="n">
        <f aca="false">+K12+L12+M12</f>
        <v>25301</v>
      </c>
      <c r="O12" s="46"/>
      <c r="P12" s="46" t="n">
        <f aca="false">+O12+N12</f>
        <v>25301</v>
      </c>
      <c r="Q12" s="47" t="n">
        <v>31</v>
      </c>
      <c r="R12" s="48" t="n">
        <f aca="false">ROUND(F12/$Q$1*Q12,0)</f>
        <v>11751</v>
      </c>
      <c r="S12" s="48" t="n">
        <f aca="false">ROUND(G12/$Q$1*Q12,0)</f>
        <v>5875</v>
      </c>
      <c r="T12" s="48" t="n">
        <f aca="false">ROUND(H12/$Q$1*Q12,0)</f>
        <v>1600</v>
      </c>
      <c r="U12" s="48" t="n">
        <f aca="false">ROUND(I12/$Q$1*Q12,0)</f>
        <v>1058</v>
      </c>
      <c r="V12" s="48" t="n">
        <f aca="false">ROUND(J12/$Q$1*Q12,0)</f>
        <v>3218</v>
      </c>
      <c r="W12" s="48"/>
      <c r="X12" s="48" t="n">
        <f aca="false">SUM(R12:V12)</f>
        <v>23502</v>
      </c>
      <c r="Y12" s="48" t="n">
        <f aca="false">MIN(1800,IF(L12&gt;0,ROUND((X12-S12)*0.12,0),0))</f>
        <v>1800</v>
      </c>
      <c r="Z12" s="48" t="n">
        <f aca="false">+IF(M12&gt;0,ROUNDUP((X12)*0.0075,0),0)</f>
        <v>0</v>
      </c>
      <c r="AA12" s="48" t="n">
        <v>2000</v>
      </c>
      <c r="AB12" s="48" t="n">
        <f aca="false">+SUM(Y12:AA12)</f>
        <v>3800</v>
      </c>
      <c r="AC12" s="48" t="n">
        <f aca="false">+X12-AB12+W12</f>
        <v>19702</v>
      </c>
      <c r="AD12" s="49" t="n">
        <f aca="false">'Expenses '!AC10</f>
        <v>3000</v>
      </c>
      <c r="AE12" s="76"/>
      <c r="AH12" s="4"/>
    </row>
    <row r="13" customFormat="false" ht="13.8" hidden="false" customHeight="false" outlineLevel="0" collapsed="false">
      <c r="A13" s="37"/>
      <c r="B13" s="38" t="n">
        <v>3</v>
      </c>
      <c r="C13" s="77" t="s">
        <v>46</v>
      </c>
      <c r="D13" s="78" t="s">
        <v>47</v>
      </c>
      <c r="E13" s="79" t="s">
        <v>43</v>
      </c>
      <c r="F13" s="70" t="n">
        <f aca="false">K13/2</f>
        <v>28196</v>
      </c>
      <c r="G13" s="70" t="n">
        <f aca="false">ROUND(+F13*0.5,0)</f>
        <v>14098</v>
      </c>
      <c r="H13" s="70" t="n">
        <v>1600</v>
      </c>
      <c r="I13" s="70" t="n">
        <f aca="false">+F13*0.09</f>
        <v>2537.64</v>
      </c>
      <c r="J13" s="70" t="n">
        <f aca="false">K13-F13-G13-I13-H13</f>
        <v>9960.36</v>
      </c>
      <c r="K13" s="70" t="n">
        <f aca="false">51812+4900-320</f>
        <v>56392</v>
      </c>
      <c r="L13" s="80" t="n">
        <f aca="false">AF13</f>
        <v>0</v>
      </c>
      <c r="M13" s="45" t="n">
        <f aca="false">IF(K13&gt;21000,0,ROUND(K13*0.0325,0))</f>
        <v>0</v>
      </c>
      <c r="N13" s="46" t="n">
        <f aca="false">+K13+L13+M13</f>
        <v>56392</v>
      </c>
      <c r="O13" s="46"/>
      <c r="P13" s="46" t="n">
        <f aca="false">+O13+N13</f>
        <v>56392</v>
      </c>
      <c r="Q13" s="47" t="n">
        <v>31</v>
      </c>
      <c r="R13" s="48" t="n">
        <f aca="false">ROUND(F13/$Q$1*Q13,0)</f>
        <v>28196</v>
      </c>
      <c r="S13" s="48" t="n">
        <f aca="false">ROUND(G13/$Q$1*Q13,0)</f>
        <v>14098</v>
      </c>
      <c r="T13" s="48" t="n">
        <f aca="false">ROUND(H13/$Q$1*Q13,0)</f>
        <v>1600</v>
      </c>
      <c r="U13" s="48" t="n">
        <f aca="false">ROUND(I13/$Q$1*Q13,0)</f>
        <v>2538</v>
      </c>
      <c r="V13" s="48" t="n">
        <f aca="false">ROUND(J13/$Q$1*Q13,0)</f>
        <v>9960</v>
      </c>
      <c r="W13" s="48"/>
      <c r="X13" s="48" t="n">
        <f aca="false">SUM(R13:V13)</f>
        <v>56392</v>
      </c>
      <c r="Y13" s="48" t="n">
        <f aca="false">ROUND(((X13-S13)*12%),)</f>
        <v>5075</v>
      </c>
      <c r="Z13" s="48" t="n">
        <f aca="false">+IF(M13&gt;0,ROUNDUP((X13)*0.0075,0),0)</f>
        <v>0</v>
      </c>
      <c r="AA13" s="48"/>
      <c r="AB13" s="48" t="n">
        <f aca="false">+SUM(Y13:AA13)</f>
        <v>5075</v>
      </c>
      <c r="AC13" s="48" t="n">
        <f aca="false">+X13-AB13+W13</f>
        <v>51317</v>
      </c>
      <c r="AD13" s="49" t="n">
        <f aca="false">'Expenses '!AC11</f>
        <v>6000</v>
      </c>
      <c r="AE13" s="81"/>
      <c r="AH13" s="4"/>
    </row>
    <row r="14" customFormat="false" ht="13.8" hidden="false" customHeight="false" outlineLevel="0" collapsed="false">
      <c r="A14" s="58"/>
      <c r="B14" s="38" t="n">
        <v>4</v>
      </c>
      <c r="C14" s="82" t="s">
        <v>48</v>
      </c>
      <c r="D14" s="73" t="s">
        <v>49</v>
      </c>
      <c r="E14" s="38" t="s">
        <v>43</v>
      </c>
      <c r="F14" s="83" t="n">
        <f aca="false">K14/2</f>
        <v>12178</v>
      </c>
      <c r="G14" s="83" t="n">
        <f aca="false">ROUND(+F14*0.5,0)</f>
        <v>6089</v>
      </c>
      <c r="H14" s="70" t="n">
        <v>1600</v>
      </c>
      <c r="I14" s="70" t="n">
        <f aca="false">+F14*0.09</f>
        <v>1096.02</v>
      </c>
      <c r="J14" s="70" t="n">
        <f aca="false">K14-F14-G14-I14-H14</f>
        <v>3392.98</v>
      </c>
      <c r="K14" s="84" t="n">
        <f aca="false">13843+3000+1250-150+13+2500+3500+400</f>
        <v>24356</v>
      </c>
      <c r="L14" s="71" t="n">
        <v>1800</v>
      </c>
      <c r="M14" s="45" t="n">
        <f aca="false">IF(K14&gt;21000,0,ROUND(K14*0.0325,0))</f>
        <v>0</v>
      </c>
      <c r="N14" s="45" t="n">
        <f aca="false">+K14+L14+M14</f>
        <v>26156</v>
      </c>
      <c r="O14" s="46"/>
      <c r="P14" s="46" t="n">
        <f aca="false">+O14+N14</f>
        <v>26156</v>
      </c>
      <c r="Q14" s="47" t="n">
        <v>31</v>
      </c>
      <c r="R14" s="48" t="n">
        <f aca="false">ROUND(F14/$Q$1*Q14,0)</f>
        <v>12178</v>
      </c>
      <c r="S14" s="48" t="n">
        <f aca="false">ROUND(G14/$Q$1*Q14,0)</f>
        <v>6089</v>
      </c>
      <c r="T14" s="48" t="n">
        <f aca="false">ROUND(H14/$Q$1*Q14,0)</f>
        <v>1600</v>
      </c>
      <c r="U14" s="48" t="n">
        <f aca="false">ROUND(I14/$Q$1*Q14,0)</f>
        <v>1096</v>
      </c>
      <c r="V14" s="48" t="n">
        <f aca="false">ROUND(J14/$Q$1*Q14,0)</f>
        <v>3393</v>
      </c>
      <c r="W14" s="48"/>
      <c r="X14" s="48" t="n">
        <f aca="false">SUM(R14:V14)</f>
        <v>24356</v>
      </c>
      <c r="Y14" s="48" t="n">
        <f aca="false">MIN(1800,IF(L14&gt;0,ROUND((X14-S14)*0.12,0),0))</f>
        <v>1800</v>
      </c>
      <c r="Z14" s="48" t="n">
        <f aca="false">+IF(M14&gt;0,ROUNDUP((X14)*0.0075,0),0)</f>
        <v>0</v>
      </c>
      <c r="AA14" s="48" t="n">
        <v>5000</v>
      </c>
      <c r="AB14" s="48" t="n">
        <f aca="false">+SUM(Y14:AA14)</f>
        <v>6800</v>
      </c>
      <c r="AC14" s="48" t="n">
        <f aca="false">+X14-AB14+W14</f>
        <v>17556</v>
      </c>
      <c r="AD14" s="49" t="n">
        <f aca="false">'Expenses '!AC12</f>
        <v>5000</v>
      </c>
      <c r="AE14" s="78"/>
      <c r="AH14" s="4"/>
    </row>
    <row r="15" customFormat="false" ht="13.8" hidden="false" customHeight="false" outlineLevel="0" collapsed="false">
      <c r="A15" s="58"/>
      <c r="B15" s="38" t="n">
        <v>5</v>
      </c>
      <c r="C15" s="82" t="s">
        <v>50</v>
      </c>
      <c r="D15" s="73" t="s">
        <v>51</v>
      </c>
      <c r="E15" s="38" t="s">
        <v>43</v>
      </c>
      <c r="F15" s="70" t="n">
        <f aca="false">K15/2</f>
        <v>18350</v>
      </c>
      <c r="G15" s="70" t="n">
        <f aca="false">ROUND(+F15*0.5,0)</f>
        <v>9175</v>
      </c>
      <c r="H15" s="70" t="n">
        <v>1600</v>
      </c>
      <c r="I15" s="70" t="n">
        <f aca="false">+F15*0.09</f>
        <v>1651.5</v>
      </c>
      <c r="J15" s="70" t="n">
        <f aca="false">K15-F15-G15-I15-H15</f>
        <v>5923.5</v>
      </c>
      <c r="K15" s="83" t="n">
        <v>36700</v>
      </c>
      <c r="L15" s="71" t="n">
        <v>1800</v>
      </c>
      <c r="M15" s="45" t="n">
        <f aca="false">IF(K15&gt;21000,0,ROUND(K15*0.0325,0))</f>
        <v>0</v>
      </c>
      <c r="N15" s="45" t="n">
        <f aca="false">+K15+L15+M15</f>
        <v>38500</v>
      </c>
      <c r="O15" s="46"/>
      <c r="P15" s="46" t="n">
        <f aca="false">+O15+N15</f>
        <v>38500</v>
      </c>
      <c r="Q15" s="47" t="n">
        <v>31</v>
      </c>
      <c r="R15" s="48" t="n">
        <f aca="false">ROUND(F15/$Q$1*Q15,0)</f>
        <v>18350</v>
      </c>
      <c r="S15" s="48" t="n">
        <f aca="false">ROUND(G15/$Q$1*Q15,0)</f>
        <v>9175</v>
      </c>
      <c r="T15" s="48" t="n">
        <f aca="false">ROUND(H15/$Q$1*Q15,0)</f>
        <v>1600</v>
      </c>
      <c r="U15" s="48" t="n">
        <f aca="false">ROUND(I15/$Q$1*Q15,0)</f>
        <v>1652</v>
      </c>
      <c r="V15" s="48" t="n">
        <f aca="false">ROUND(J15/$Q$1*Q15,0)</f>
        <v>5924</v>
      </c>
      <c r="W15" s="48"/>
      <c r="X15" s="48" t="n">
        <f aca="false">SUM(R15:V15)</f>
        <v>36701</v>
      </c>
      <c r="Y15" s="48" t="n">
        <f aca="false">MIN(1800,IF(L15&gt;0,ROUND((X15-S15)*0.12,0),0))</f>
        <v>1800</v>
      </c>
      <c r="Z15" s="48" t="n">
        <f aca="false">+IF(M15&gt;0,ROUNDUP((X15)*0.0075,0),0)</f>
        <v>0</v>
      </c>
      <c r="AA15" s="48" t="n">
        <v>5000</v>
      </c>
      <c r="AB15" s="48" t="n">
        <f aca="false">+SUM(Y15:AA15)</f>
        <v>6800</v>
      </c>
      <c r="AC15" s="48" t="n">
        <f aca="false">+X15-AB15+W15</f>
        <v>29901</v>
      </c>
      <c r="AD15" s="49" t="n">
        <f aca="false">'Expenses '!AC13</f>
        <v>6500</v>
      </c>
      <c r="AE15" s="78"/>
      <c r="AH15" s="4"/>
    </row>
    <row r="16" customFormat="false" ht="13.8" hidden="false" customHeight="false" outlineLevel="0" collapsed="false">
      <c r="A16" s="85" t="s">
        <v>52</v>
      </c>
      <c r="B16" s="38" t="n">
        <v>6</v>
      </c>
      <c r="C16" s="86" t="s">
        <v>53</v>
      </c>
      <c r="D16" s="87" t="s">
        <v>54</v>
      </c>
      <c r="E16" s="88" t="s">
        <v>43</v>
      </c>
      <c r="F16" s="89" t="n">
        <f aca="false">K16/2</f>
        <v>14500</v>
      </c>
      <c r="G16" s="89" t="n">
        <f aca="false">ROUND(+F16*0.5,0)</f>
        <v>7250</v>
      </c>
      <c r="H16" s="89" t="n">
        <v>1600</v>
      </c>
      <c r="I16" s="89" t="n">
        <f aca="false">+F16*0.09</f>
        <v>1305</v>
      </c>
      <c r="J16" s="89" t="n">
        <f aca="false">K16-F16-G16-I16-H16</f>
        <v>4345</v>
      </c>
      <c r="K16" s="90" t="n">
        <f aca="false">22000+7000</f>
        <v>29000</v>
      </c>
      <c r="L16" s="91"/>
      <c r="M16" s="90" t="n">
        <f aca="false">IF(K16&gt;21000,0,ROUND(K16*0.0325,0))</f>
        <v>0</v>
      </c>
      <c r="N16" s="90" t="n">
        <f aca="false">+K16+L16+M16</f>
        <v>29000</v>
      </c>
      <c r="O16" s="92"/>
      <c r="P16" s="92" t="n">
        <f aca="false">+O16+N16</f>
        <v>29000</v>
      </c>
      <c r="Q16" s="93" t="n">
        <v>30</v>
      </c>
      <c r="R16" s="48" t="n">
        <f aca="false">ROUND(F16/$Q$1*Q16,0)</f>
        <v>14032</v>
      </c>
      <c r="S16" s="48" t="n">
        <f aca="false">ROUND(G16/$Q$1*Q16,0)</f>
        <v>7016</v>
      </c>
      <c r="T16" s="48" t="n">
        <f aca="false">ROUND(H16/$Q$1*Q16,0)</f>
        <v>1548</v>
      </c>
      <c r="U16" s="48" t="n">
        <f aca="false">ROUND(I16/$Q$1*Q16,0)</f>
        <v>1263</v>
      </c>
      <c r="V16" s="48" t="n">
        <f aca="false">ROUND(J16/$Q$1*Q16,0)</f>
        <v>4205</v>
      </c>
      <c r="W16" s="48"/>
      <c r="X16" s="48" t="n">
        <f aca="false">SUM(R16:V16)</f>
        <v>28064</v>
      </c>
      <c r="Y16" s="48" t="n">
        <f aca="false">MIN(1800,IF(L16&gt;0,ROUND((X16-S16)*0.12,0),0))</f>
        <v>0</v>
      </c>
      <c r="Z16" s="48" t="n">
        <f aca="false">+IF(M16&gt;0,ROUNDUP((X16)*0.0075,0),0)</f>
        <v>0</v>
      </c>
      <c r="AA16" s="48"/>
      <c r="AB16" s="48" t="n">
        <f aca="false">+SUM(Y16:AA16)</f>
        <v>0</v>
      </c>
      <c r="AC16" s="48" t="n">
        <f aca="false">+X16-AB16+W16</f>
        <v>28064</v>
      </c>
      <c r="AD16" s="49" t="n">
        <f aca="false">'Expenses '!AC14</f>
        <v>2904</v>
      </c>
      <c r="AE16" s="78"/>
      <c r="AH16" s="4"/>
    </row>
    <row r="17" customFormat="false" ht="13.8" hidden="false" customHeight="false" outlineLevel="0" collapsed="false">
      <c r="A17" s="85" t="s">
        <v>52</v>
      </c>
      <c r="B17" s="38" t="n">
        <v>7</v>
      </c>
      <c r="C17" s="86" t="s">
        <v>55</v>
      </c>
      <c r="D17" s="87" t="s">
        <v>56</v>
      </c>
      <c r="E17" s="88" t="s">
        <v>43</v>
      </c>
      <c r="F17" s="89" t="n">
        <f aca="false">K17/2</f>
        <v>12600</v>
      </c>
      <c r="G17" s="89" t="n">
        <f aca="false">ROUND(+F17*0.5,0)</f>
        <v>6300</v>
      </c>
      <c r="H17" s="89" t="n">
        <v>1600</v>
      </c>
      <c r="I17" s="89" t="n">
        <f aca="false">+F17*0.09</f>
        <v>1134</v>
      </c>
      <c r="J17" s="89" t="n">
        <f aca="false">K17-F17-G17-I17-H17</f>
        <v>3566</v>
      </c>
      <c r="K17" s="90" t="n">
        <f aca="false">21500+5500-1800</f>
        <v>25200</v>
      </c>
      <c r="L17" s="91" t="n">
        <v>1800</v>
      </c>
      <c r="M17" s="90" t="n">
        <f aca="false">IF(K17&gt;21000,0,ROUND(K17*0.0325,0))</f>
        <v>0</v>
      </c>
      <c r="N17" s="90" t="n">
        <f aca="false">+K17+L17+M17</f>
        <v>27000</v>
      </c>
      <c r="O17" s="92"/>
      <c r="P17" s="92" t="n">
        <f aca="false">+O17+N17</f>
        <v>27000</v>
      </c>
      <c r="Q17" s="93" t="n">
        <v>12</v>
      </c>
      <c r="R17" s="48" t="n">
        <f aca="false">ROUND(F17/$Q$1*Q17,0)</f>
        <v>4877</v>
      </c>
      <c r="S17" s="48" t="n">
        <f aca="false">ROUND(G17/$Q$1*Q17,0)</f>
        <v>2439</v>
      </c>
      <c r="T17" s="48" t="n">
        <f aca="false">ROUND(H17/$Q$1*Q17,0)</f>
        <v>619</v>
      </c>
      <c r="U17" s="48" t="n">
        <f aca="false">ROUND(I17/$Q$1*Q17,0)</f>
        <v>439</v>
      </c>
      <c r="V17" s="48" t="n">
        <f aca="false">ROUND(J17/$Q$1*Q17,0)</f>
        <v>1380</v>
      </c>
      <c r="W17" s="48"/>
      <c r="X17" s="48" t="n">
        <f aca="false">SUM(R17:V17)</f>
        <v>9754</v>
      </c>
      <c r="Y17" s="48" t="n">
        <f aca="false">MIN(1800,IF(L17&gt;0,ROUND((X17-S17)*0.12,0),0))</f>
        <v>878</v>
      </c>
      <c r="Z17" s="48" t="n">
        <f aca="false">+IF(M17&gt;0,ROUNDUP((X17)*0.0075,0),0)</f>
        <v>0</v>
      </c>
      <c r="AA17" s="48"/>
      <c r="AB17" s="48" t="n">
        <f aca="false">+SUM(Y17:AA17)</f>
        <v>878</v>
      </c>
      <c r="AC17" s="48" t="n">
        <f aca="false">+X17-AB17+W17</f>
        <v>8876</v>
      </c>
      <c r="AD17" s="49" t="n">
        <f aca="false">'Expenses '!AC15</f>
        <v>2710</v>
      </c>
      <c r="AE17" s="78"/>
      <c r="AH17" s="4"/>
    </row>
    <row r="18" customFormat="false" ht="13.8" hidden="false" customHeight="false" outlineLevel="0" collapsed="false">
      <c r="A18" s="58"/>
      <c r="B18" s="38" t="n">
        <v>8</v>
      </c>
      <c r="C18" s="82" t="s">
        <v>57</v>
      </c>
      <c r="D18" s="73" t="s">
        <v>58</v>
      </c>
      <c r="E18" s="38" t="s">
        <v>43</v>
      </c>
      <c r="F18" s="70" t="n">
        <f aca="false">K18/2</f>
        <v>8213.5</v>
      </c>
      <c r="G18" s="70" t="n">
        <f aca="false">ROUND(+F18*0.5,0)</f>
        <v>4107</v>
      </c>
      <c r="H18" s="70" t="n">
        <v>1600</v>
      </c>
      <c r="I18" s="70" t="n">
        <f aca="false">+F18*0.09</f>
        <v>739.215</v>
      </c>
      <c r="J18" s="70" t="n">
        <f aca="false">K18-F18-G18-I18-H18</f>
        <v>1767.285</v>
      </c>
      <c r="K18" s="83" t="n">
        <f aca="false">13427+3000</f>
        <v>16427</v>
      </c>
      <c r="L18" s="71" t="n">
        <f aca="false">ROUND((K18-G18)*0.12,0)</f>
        <v>1478</v>
      </c>
      <c r="M18" s="45" t="n">
        <f aca="false">IF(K18&gt;21000,0,ROUND(K18*0.0325,0))</f>
        <v>534</v>
      </c>
      <c r="N18" s="45" t="n">
        <f aca="false">+K18+L18+M18</f>
        <v>18439</v>
      </c>
      <c r="O18" s="46" t="n">
        <v>0</v>
      </c>
      <c r="P18" s="46" t="n">
        <f aca="false">+O18+N18</f>
        <v>18439</v>
      </c>
      <c r="Q18" s="47" t="n">
        <v>31</v>
      </c>
      <c r="R18" s="48" t="n">
        <f aca="false">ROUND(F18/$Q$1*Q18,0)</f>
        <v>8214</v>
      </c>
      <c r="S18" s="48" t="n">
        <f aca="false">ROUND(G18/$Q$1*Q18,0)</f>
        <v>4107</v>
      </c>
      <c r="T18" s="48" t="n">
        <f aca="false">ROUND(H18/$Q$1*Q18,0)</f>
        <v>1600</v>
      </c>
      <c r="U18" s="48" t="n">
        <f aca="false">ROUND(I18/$Q$1*Q18,0)</f>
        <v>739</v>
      </c>
      <c r="V18" s="48" t="n">
        <f aca="false">ROUND(J18/$Q$1*Q18,0)</f>
        <v>1767</v>
      </c>
      <c r="W18" s="48"/>
      <c r="X18" s="48" t="n">
        <f aca="false">SUM(R18:V18)</f>
        <v>16427</v>
      </c>
      <c r="Y18" s="48" t="n">
        <f aca="false">MIN(1800,IF(L18&gt;0,ROUND((X18-S18)*0.12,0),0))</f>
        <v>1478</v>
      </c>
      <c r="Z18" s="48" t="n">
        <f aca="false">+IF(M18&gt;0,ROUNDUP((X18)*0.0075,0),0)</f>
        <v>124</v>
      </c>
      <c r="AA18" s="48"/>
      <c r="AB18" s="48" t="n">
        <f aca="false">+SUM(Y18:AA18)</f>
        <v>1602</v>
      </c>
      <c r="AC18" s="48" t="n">
        <f aca="false">+X18-AB18+W18</f>
        <v>14825</v>
      </c>
      <c r="AD18" s="49" t="n">
        <f aca="false">'Expenses '!AC16</f>
        <v>6500</v>
      </c>
      <c r="AE18" s="78"/>
      <c r="AH18" s="4"/>
    </row>
    <row r="19" customFormat="false" ht="13.8" hidden="false" customHeight="false" outlineLevel="0" collapsed="false">
      <c r="A19" s="58"/>
      <c r="B19" s="38" t="n">
        <v>9</v>
      </c>
      <c r="C19" s="82" t="s">
        <v>59</v>
      </c>
      <c r="D19" s="73" t="s">
        <v>60</v>
      </c>
      <c r="E19" s="38" t="s">
        <v>43</v>
      </c>
      <c r="F19" s="70" t="n">
        <f aca="false">K19/2</f>
        <v>7963.5</v>
      </c>
      <c r="G19" s="70" t="n">
        <f aca="false">ROUND(+F19*0.5,0)</f>
        <v>3982</v>
      </c>
      <c r="H19" s="70" t="n">
        <v>1600</v>
      </c>
      <c r="I19" s="70" t="n">
        <f aca="false">+F19*0.09</f>
        <v>716.715</v>
      </c>
      <c r="J19" s="70" t="n">
        <f aca="false">K19-F19-G19-I19-H19</f>
        <v>1664.785</v>
      </c>
      <c r="K19" s="83" t="n">
        <f aca="false">13427+2500</f>
        <v>15927</v>
      </c>
      <c r="L19" s="71" t="n">
        <f aca="false">ROUND((K19-G19)*0.12,0)</f>
        <v>1433</v>
      </c>
      <c r="M19" s="45" t="n">
        <f aca="false">IF(K19&gt;21000,0,ROUND(K19*0.0325,0))</f>
        <v>518</v>
      </c>
      <c r="N19" s="45" t="n">
        <f aca="false">+K19+L19+M19</f>
        <v>17878</v>
      </c>
      <c r="O19" s="46" t="n">
        <v>0</v>
      </c>
      <c r="P19" s="46" t="n">
        <f aca="false">+O19+N19</f>
        <v>17878</v>
      </c>
      <c r="Q19" s="47" t="n">
        <v>31</v>
      </c>
      <c r="R19" s="48" t="n">
        <f aca="false">ROUND(F19/$Q$1*Q19,0)</f>
        <v>7964</v>
      </c>
      <c r="S19" s="48" t="n">
        <f aca="false">ROUND(G19/$Q$1*Q19,0)</f>
        <v>3982</v>
      </c>
      <c r="T19" s="48" t="n">
        <f aca="false">ROUND(H19/$Q$1*Q19,0)</f>
        <v>1600</v>
      </c>
      <c r="U19" s="48" t="n">
        <f aca="false">ROUND(I19/$Q$1*Q19,0)</f>
        <v>717</v>
      </c>
      <c r="V19" s="48" t="n">
        <f aca="false">ROUND(J19/$Q$1*Q19,0)</f>
        <v>1665</v>
      </c>
      <c r="W19" s="48"/>
      <c r="X19" s="48" t="n">
        <f aca="false">SUM(R19:V19)</f>
        <v>15928</v>
      </c>
      <c r="Y19" s="48" t="n">
        <f aca="false">MIN(1800,IF(L19&gt;0,ROUND((X19-S19)*0.12,0),0))</f>
        <v>1434</v>
      </c>
      <c r="Z19" s="48" t="n">
        <f aca="false">+IF(M19&gt;0,ROUNDUP((X19)*0.0075,0),0)</f>
        <v>120</v>
      </c>
      <c r="AA19" s="48"/>
      <c r="AB19" s="48" t="n">
        <f aca="false">+SUM(Y19:AA19)</f>
        <v>1554</v>
      </c>
      <c r="AC19" s="48" t="n">
        <f aca="false">+X19-AB19+W19</f>
        <v>14374</v>
      </c>
      <c r="AD19" s="49" t="n">
        <f aca="false">'Expenses '!AC17</f>
        <v>3000</v>
      </c>
      <c r="AE19" s="78"/>
      <c r="AH19" s="4"/>
    </row>
    <row r="20" customFormat="false" ht="13.8" hidden="false" customHeight="false" outlineLevel="0" collapsed="false">
      <c r="A20" s="85" t="s">
        <v>52</v>
      </c>
      <c r="B20" s="38" t="n">
        <v>10</v>
      </c>
      <c r="C20" s="86" t="s">
        <v>61</v>
      </c>
      <c r="D20" s="87" t="s">
        <v>62</v>
      </c>
      <c r="E20" s="88" t="s">
        <v>43</v>
      </c>
      <c r="F20" s="89" t="n">
        <f aca="false">K20/2</f>
        <v>10679</v>
      </c>
      <c r="G20" s="89" t="n">
        <f aca="false">ROUND(+F20*0.5,0)</f>
        <v>5340</v>
      </c>
      <c r="H20" s="89" t="n">
        <v>1600</v>
      </c>
      <c r="I20" s="89" t="n">
        <f aca="false">+F20*0.09</f>
        <v>961.11</v>
      </c>
      <c r="J20" s="89" t="n">
        <f aca="false">K20-F20-G20-I20-H20</f>
        <v>2777.89</v>
      </c>
      <c r="K20" s="90" t="n">
        <v>21358</v>
      </c>
      <c r="L20" s="91" t="n">
        <v>1800</v>
      </c>
      <c r="M20" s="90"/>
      <c r="N20" s="90" t="n">
        <f aca="false">+K20+L20+M20</f>
        <v>23158</v>
      </c>
      <c r="O20" s="92"/>
      <c r="P20" s="92" t="n">
        <f aca="false">+O20+N20</f>
        <v>23158</v>
      </c>
      <c r="Q20" s="93" t="n">
        <v>3</v>
      </c>
      <c r="R20" s="48" t="n">
        <f aca="false">ROUND(F20/$Q$1*Q20,0)</f>
        <v>1033</v>
      </c>
      <c r="S20" s="48" t="n">
        <f aca="false">ROUND(G20/$Q$1*Q20,0)</f>
        <v>517</v>
      </c>
      <c r="T20" s="48" t="n">
        <f aca="false">ROUND(H20/$Q$1*Q20,0)</f>
        <v>155</v>
      </c>
      <c r="U20" s="48" t="n">
        <f aca="false">ROUND(I20/$Q$1*Q20,0)</f>
        <v>93</v>
      </c>
      <c r="V20" s="48" t="n">
        <f aca="false">ROUND(J20/$Q$1*Q20,0)</f>
        <v>269</v>
      </c>
      <c r="W20" s="48"/>
      <c r="X20" s="48" t="n">
        <f aca="false">SUM(R20:V20)</f>
        <v>2067</v>
      </c>
      <c r="Y20" s="48" t="n">
        <f aca="false">MIN(1800,IF(L20&gt;0,ROUND((X20-S20)*0.12,0),0))</f>
        <v>186</v>
      </c>
      <c r="Z20" s="48" t="n">
        <f aca="false">+IF(M20&gt;0,ROUNDUP((X20)*0.0075,0),0)</f>
        <v>0</v>
      </c>
      <c r="AA20" s="48"/>
      <c r="AB20" s="48" t="n">
        <f aca="false">+SUM(Y20:AA20)</f>
        <v>186</v>
      </c>
      <c r="AC20" s="48" t="n">
        <f aca="false">+X20-AB20+W20</f>
        <v>1881</v>
      </c>
      <c r="AD20" s="49" t="n">
        <f aca="false">'Expenses '!AC18</f>
        <v>0</v>
      </c>
      <c r="AE20" s="78"/>
      <c r="AH20" s="4"/>
    </row>
    <row r="21" customFormat="false" ht="13.8" hidden="false" customHeight="false" outlineLevel="0" collapsed="false">
      <c r="A21" s="85"/>
      <c r="B21" s="38" t="n">
        <v>11</v>
      </c>
      <c r="C21" s="86" t="s">
        <v>63</v>
      </c>
      <c r="D21" s="87" t="s">
        <v>64</v>
      </c>
      <c r="E21" s="88" t="s">
        <v>43</v>
      </c>
      <c r="F21" s="70" t="n">
        <f aca="false">K21/2</f>
        <v>10500</v>
      </c>
      <c r="G21" s="70" t="n">
        <f aca="false">ROUND(+F21*0.5,0)</f>
        <v>5250</v>
      </c>
      <c r="H21" s="70" t="n">
        <v>1600</v>
      </c>
      <c r="I21" s="70" t="n">
        <f aca="false">+F21*0.09</f>
        <v>945</v>
      </c>
      <c r="J21" s="70" t="n">
        <f aca="false">K21-F21-G21-I21-H21</f>
        <v>2705</v>
      </c>
      <c r="K21" s="83" t="n">
        <v>21000</v>
      </c>
      <c r="L21" s="71" t="n">
        <v>1800</v>
      </c>
      <c r="M21" s="45"/>
      <c r="N21" s="45" t="n">
        <f aca="false">+K21+L21+M21</f>
        <v>22800</v>
      </c>
      <c r="O21" s="46" t="n">
        <v>0</v>
      </c>
      <c r="P21" s="46" t="n">
        <f aca="false">+O21+N21</f>
        <v>22800</v>
      </c>
      <c r="Q21" s="47" t="n">
        <v>31</v>
      </c>
      <c r="R21" s="48" t="n">
        <f aca="false">ROUND(F21/$Q$1*Q21,0)</f>
        <v>10500</v>
      </c>
      <c r="S21" s="48" t="n">
        <f aca="false">ROUND(G21/$Q$1*Q21,0)</f>
        <v>5250</v>
      </c>
      <c r="T21" s="48" t="n">
        <f aca="false">ROUND(H21/$Q$1*Q21,0)</f>
        <v>1600</v>
      </c>
      <c r="U21" s="48" t="n">
        <f aca="false">ROUND(I21/$Q$1*Q21,0)</f>
        <v>945</v>
      </c>
      <c r="V21" s="48" t="n">
        <f aca="false">ROUND(J21/$Q$1*Q21,0)</f>
        <v>2705</v>
      </c>
      <c r="W21" s="48"/>
      <c r="X21" s="48" t="n">
        <f aca="false">SUM(R21:V21)</f>
        <v>21000</v>
      </c>
      <c r="Y21" s="48" t="n">
        <f aca="false">MIN(1800,IF(L21&gt;0,ROUND((X21-S21)*0.12,0),0))</f>
        <v>1800</v>
      </c>
      <c r="Z21" s="48" t="n">
        <f aca="false">+IF(M21&gt;0,ROUNDUP((X21)*0.0075,0),0)</f>
        <v>0</v>
      </c>
      <c r="AA21" s="48"/>
      <c r="AB21" s="48" t="n">
        <f aca="false">+SUM(Y21:AA21)</f>
        <v>1800</v>
      </c>
      <c r="AC21" s="48" t="n">
        <f aca="false">+X21-AB21+W21</f>
        <v>19200</v>
      </c>
      <c r="AD21" s="49" t="n">
        <f aca="false">'Expenses '!AC19</f>
        <v>1800</v>
      </c>
      <c r="AE21" s="78"/>
      <c r="AH21" s="4"/>
    </row>
    <row r="22" customFormat="false" ht="13.8" hidden="false" customHeight="false" outlineLevel="0" collapsed="false">
      <c r="A22" s="58"/>
      <c r="B22" s="38" t="n">
        <v>12</v>
      </c>
      <c r="C22" s="82" t="s">
        <v>65</v>
      </c>
      <c r="D22" s="94" t="s">
        <v>66</v>
      </c>
      <c r="E22" s="38" t="s">
        <v>43</v>
      </c>
      <c r="F22" s="70" t="n">
        <f aca="false">K22/2</f>
        <v>10750</v>
      </c>
      <c r="G22" s="70" t="n">
        <f aca="false">ROUND(+F22*0.5,0)</f>
        <v>5375</v>
      </c>
      <c r="H22" s="70" t="n">
        <v>1600</v>
      </c>
      <c r="I22" s="70" t="n">
        <f aca="false">+F22*0.09</f>
        <v>967.5</v>
      </c>
      <c r="J22" s="70" t="n">
        <f aca="false">K22-F22-G22-I22-H22</f>
        <v>2807.5</v>
      </c>
      <c r="K22" s="83" t="n">
        <v>21500</v>
      </c>
      <c r="L22" s="71" t="n">
        <v>0</v>
      </c>
      <c r="M22" s="45" t="n">
        <f aca="false">IF(K22&gt;21000,0,ROUND(K22*0.0325,0))</f>
        <v>0</v>
      </c>
      <c r="N22" s="45" t="n">
        <f aca="false">+K22+L22+M22</f>
        <v>21500</v>
      </c>
      <c r="O22" s="46"/>
      <c r="P22" s="46" t="n">
        <f aca="false">+O22+N22</f>
        <v>21500</v>
      </c>
      <c r="Q22" s="47" t="n">
        <v>31</v>
      </c>
      <c r="R22" s="48" t="n">
        <f aca="false">ROUND(F22/$Q$1*Q22,0)</f>
        <v>10750</v>
      </c>
      <c r="S22" s="48" t="n">
        <f aca="false">ROUND(G22/$Q$1*Q22,0)</f>
        <v>5375</v>
      </c>
      <c r="T22" s="48" t="n">
        <f aca="false">ROUND(H22/$Q$1*Q22,0)</f>
        <v>1600</v>
      </c>
      <c r="U22" s="48" t="n">
        <f aca="false">ROUND(I22/$Q$1*Q22,0)</f>
        <v>968</v>
      </c>
      <c r="V22" s="48" t="n">
        <f aca="false">ROUND(J22/$Q$1*Q22,0)</f>
        <v>2808</v>
      </c>
      <c r="W22" s="48"/>
      <c r="X22" s="48" t="n">
        <f aca="false">SUM(R22:V22)</f>
        <v>21501</v>
      </c>
      <c r="Y22" s="48" t="n">
        <f aca="false">MIN(1800,IF(L22&gt;0,ROUND((X22-S22)*0.12,0),0))</f>
        <v>0</v>
      </c>
      <c r="Z22" s="48" t="n">
        <f aca="false">+IF(M22&gt;0,ROUNDUP((X22)*0.0075,0),0)</f>
        <v>0</v>
      </c>
      <c r="AA22" s="48" t="n">
        <v>0</v>
      </c>
      <c r="AB22" s="48" t="n">
        <f aca="false">+SUM(Y22:AA22)</f>
        <v>0</v>
      </c>
      <c r="AC22" s="48" t="n">
        <f aca="false">+X22-AB22+W22</f>
        <v>21501</v>
      </c>
      <c r="AD22" s="49" t="n">
        <f aca="false">'Expenses '!AC20</f>
        <v>3000</v>
      </c>
      <c r="AE22" s="78"/>
      <c r="AH22" s="4"/>
    </row>
    <row r="23" customFormat="false" ht="13.8" hidden="false" customHeight="false" outlineLevel="0" collapsed="false">
      <c r="A23" s="58"/>
      <c r="B23" s="38" t="n">
        <v>13</v>
      </c>
      <c r="C23" s="82" t="s">
        <v>67</v>
      </c>
      <c r="D23" s="94" t="s">
        <v>66</v>
      </c>
      <c r="E23" s="38" t="s">
        <v>43</v>
      </c>
      <c r="F23" s="70" t="n">
        <f aca="false">K23/2</f>
        <v>10750</v>
      </c>
      <c r="G23" s="70" t="n">
        <f aca="false">ROUND(+F23*0.5,0)</f>
        <v>5375</v>
      </c>
      <c r="H23" s="70" t="n">
        <v>1600</v>
      </c>
      <c r="I23" s="70" t="n">
        <f aca="false">+F23*0.09</f>
        <v>967.5</v>
      </c>
      <c r="J23" s="70" t="n">
        <f aca="false">K23-F23-G23-I23-H23</f>
        <v>2807.5</v>
      </c>
      <c r="K23" s="83" t="n">
        <f aca="false">21500</f>
        <v>21500</v>
      </c>
      <c r="L23" s="71" t="n">
        <v>0</v>
      </c>
      <c r="M23" s="45" t="n">
        <f aca="false">IF(K23&gt;21000,0,ROUND(K23*0.0325,0))</f>
        <v>0</v>
      </c>
      <c r="N23" s="45" t="n">
        <f aca="false">+K23+L23+M23</f>
        <v>21500</v>
      </c>
      <c r="O23" s="46"/>
      <c r="P23" s="46" t="n">
        <f aca="false">+O23+N23</f>
        <v>21500</v>
      </c>
      <c r="Q23" s="47" t="n">
        <v>31</v>
      </c>
      <c r="R23" s="48" t="n">
        <f aca="false">ROUND(F23/$Q$1*Q23,0)</f>
        <v>10750</v>
      </c>
      <c r="S23" s="48" t="n">
        <f aca="false">ROUND(G23/$Q$1*Q23,0)</f>
        <v>5375</v>
      </c>
      <c r="T23" s="48" t="n">
        <f aca="false">ROUND(H23/$Q$1*Q23,0)</f>
        <v>1600</v>
      </c>
      <c r="U23" s="48" t="n">
        <f aca="false">ROUND(I23/$Q$1*Q23,0)</f>
        <v>968</v>
      </c>
      <c r="V23" s="48" t="n">
        <f aca="false">ROUND(J23/$Q$1*Q23,0)</f>
        <v>2808</v>
      </c>
      <c r="W23" s="48"/>
      <c r="X23" s="48" t="n">
        <f aca="false">SUM(R23:V23)</f>
        <v>21501</v>
      </c>
      <c r="Y23" s="48" t="n">
        <f aca="false">MIN(1800,IF(L23&gt;0,ROUND((X23-S23)*0.12,0),0))</f>
        <v>0</v>
      </c>
      <c r="Z23" s="48" t="n">
        <f aca="false">+IF(M23&gt;0,ROUNDUP((X23)*0.0075,0),0)</f>
        <v>0</v>
      </c>
      <c r="AA23" s="48"/>
      <c r="AB23" s="48" t="n">
        <f aca="false">+SUM(Y23:AA23)</f>
        <v>0</v>
      </c>
      <c r="AC23" s="48" t="n">
        <f aca="false">+X23-AB23+W23</f>
        <v>21501</v>
      </c>
      <c r="AD23" s="49" t="n">
        <f aca="false">'Expenses '!AC21</f>
        <v>2000</v>
      </c>
      <c r="AE23" s="78"/>
      <c r="AH23" s="4"/>
    </row>
    <row r="24" customFormat="false" ht="13.8" hidden="false" customHeight="false" outlineLevel="0" collapsed="false">
      <c r="A24" s="58"/>
      <c r="B24" s="38" t="n">
        <v>14</v>
      </c>
      <c r="C24" s="82" t="s">
        <v>68</v>
      </c>
      <c r="D24" s="94" t="s">
        <v>66</v>
      </c>
      <c r="E24" s="38" t="s">
        <v>43</v>
      </c>
      <c r="F24" s="70" t="n">
        <f aca="false">K24/2</f>
        <v>11600</v>
      </c>
      <c r="G24" s="70" t="n">
        <f aca="false">ROUND(+F24*0.5,0)</f>
        <v>5800</v>
      </c>
      <c r="H24" s="70" t="n">
        <v>1600</v>
      </c>
      <c r="I24" s="70" t="n">
        <f aca="false">+F24*0.09</f>
        <v>1044</v>
      </c>
      <c r="J24" s="70" t="n">
        <f aca="false">K24-F24-G24-I24-H24</f>
        <v>3156</v>
      </c>
      <c r="K24" s="83" t="n">
        <v>23200</v>
      </c>
      <c r="L24" s="71" t="n">
        <v>1800</v>
      </c>
      <c r="M24" s="45"/>
      <c r="N24" s="45" t="n">
        <f aca="false">+K24+L24+M24</f>
        <v>25000</v>
      </c>
      <c r="O24" s="46"/>
      <c r="P24" s="46" t="n">
        <f aca="false">+O24+N24</f>
        <v>25000</v>
      </c>
      <c r="Q24" s="47" t="n">
        <v>25.5</v>
      </c>
      <c r="R24" s="48" t="n">
        <f aca="false">ROUND(F24/$Q$1*Q24,0)</f>
        <v>9542</v>
      </c>
      <c r="S24" s="48" t="n">
        <f aca="false">ROUND(G24/$Q$1*Q24,0)</f>
        <v>4771</v>
      </c>
      <c r="T24" s="48" t="n">
        <f aca="false">ROUND(H24/$Q$1*Q24,0)</f>
        <v>1316</v>
      </c>
      <c r="U24" s="48" t="n">
        <f aca="false">ROUND(I24/$Q$1*Q24,0)</f>
        <v>859</v>
      </c>
      <c r="V24" s="48" t="n">
        <f aca="false">ROUND(J24/$Q$1*Q24,0)</f>
        <v>2596</v>
      </c>
      <c r="W24" s="48"/>
      <c r="X24" s="48" t="n">
        <f aca="false">SUM(R24:V24)</f>
        <v>19084</v>
      </c>
      <c r="Y24" s="48" t="n">
        <f aca="false">MIN(1800,IF(L24&gt;0,ROUND((X24-S24)*0.12,0),0))</f>
        <v>1718</v>
      </c>
      <c r="Z24" s="48" t="n">
        <f aca="false">+IF(M24&gt;0,ROUNDUP((X24)*0.0075,0),0)</f>
        <v>0</v>
      </c>
      <c r="AA24" s="48"/>
      <c r="AB24" s="48" t="n">
        <f aca="false">+SUM(Y24:AA24)</f>
        <v>1718</v>
      </c>
      <c r="AC24" s="48" t="n">
        <f aca="false">+X24-AB24+W24</f>
        <v>17366</v>
      </c>
      <c r="AD24" s="95" t="n">
        <f aca="false">'Expenses '!AC22</f>
        <v>3290</v>
      </c>
      <c r="AE24" s="78"/>
      <c r="AH24" s="4"/>
    </row>
    <row r="25" customFormat="false" ht="13.8" hidden="false" customHeight="false" outlineLevel="0" collapsed="false">
      <c r="A25" s="58"/>
      <c r="B25" s="38" t="n">
        <v>15</v>
      </c>
      <c r="C25" s="82" t="s">
        <v>69</v>
      </c>
      <c r="D25" s="94" t="s">
        <v>70</v>
      </c>
      <c r="E25" s="38" t="s">
        <v>43</v>
      </c>
      <c r="F25" s="70" t="n">
        <f aca="false">K25/2</f>
        <v>11000</v>
      </c>
      <c r="G25" s="70" t="n">
        <f aca="false">ROUND(+F25*0.5,0)</f>
        <v>5500</v>
      </c>
      <c r="H25" s="70" t="n">
        <v>1600</v>
      </c>
      <c r="I25" s="70" t="n">
        <f aca="false">+F25*0.09</f>
        <v>990</v>
      </c>
      <c r="J25" s="70" t="n">
        <f aca="false">K25-F25-G25-I25-H25</f>
        <v>2910</v>
      </c>
      <c r="K25" s="83" t="n">
        <v>22000</v>
      </c>
      <c r="L25" s="71"/>
      <c r="M25" s="45"/>
      <c r="N25" s="45" t="n">
        <f aca="false">+K25+L25+M25</f>
        <v>22000</v>
      </c>
      <c r="O25" s="46"/>
      <c r="P25" s="46" t="n">
        <f aca="false">+O25+N25</f>
        <v>22000</v>
      </c>
      <c r="Q25" s="47" t="n">
        <v>31</v>
      </c>
      <c r="R25" s="48" t="n">
        <f aca="false">ROUND(F25/$Q$1*Q25,0)</f>
        <v>11000</v>
      </c>
      <c r="S25" s="48" t="n">
        <f aca="false">ROUND(G25/$Q$1*Q25,0)</f>
        <v>5500</v>
      </c>
      <c r="T25" s="48" t="n">
        <f aca="false">ROUND(H25/$Q$1*Q25,0)</f>
        <v>1600</v>
      </c>
      <c r="U25" s="48" t="n">
        <f aca="false">ROUND(I25/$Q$1*Q25,0)</f>
        <v>990</v>
      </c>
      <c r="V25" s="48" t="n">
        <f aca="false">ROUND(J25/$Q$1*Q25,0)</f>
        <v>2910</v>
      </c>
      <c r="W25" s="48"/>
      <c r="X25" s="48" t="n">
        <f aca="false">SUM(R25:V25)</f>
        <v>22000</v>
      </c>
      <c r="Y25" s="48" t="n">
        <f aca="false">MIN(1800,IF(L25&gt;0,ROUND((X25-S25)*0.12,0),0))</f>
        <v>0</v>
      </c>
      <c r="Z25" s="48" t="n">
        <f aca="false">+IF(M25&gt;0,ROUNDUP((X25)*0.0075,0),0)</f>
        <v>0</v>
      </c>
      <c r="AA25" s="48" t="n">
        <v>5000</v>
      </c>
      <c r="AB25" s="48" t="n">
        <f aca="false">+SUM(Y25:AA25)</f>
        <v>5000</v>
      </c>
      <c r="AC25" s="48" t="n">
        <f aca="false">+X25-AB25+W25</f>
        <v>17000</v>
      </c>
      <c r="AD25" s="95" t="n">
        <f aca="false">'Expenses '!AC23</f>
        <v>4000</v>
      </c>
      <c r="AE25" s="78"/>
      <c r="AH25" s="4"/>
    </row>
    <row r="26" customFormat="false" ht="13.8" hidden="false" customHeight="false" outlineLevel="0" collapsed="false">
      <c r="A26" s="58"/>
      <c r="B26" s="38" t="n">
        <v>16</v>
      </c>
      <c r="C26" s="82" t="s">
        <v>71</v>
      </c>
      <c r="D26" s="94" t="s">
        <v>70</v>
      </c>
      <c r="E26" s="38" t="s">
        <v>43</v>
      </c>
      <c r="F26" s="70" t="n">
        <f aca="false">K26/2</f>
        <v>10750</v>
      </c>
      <c r="G26" s="70" t="n">
        <f aca="false">ROUND(+F26*0.5,0)</f>
        <v>5375</v>
      </c>
      <c r="H26" s="70" t="n">
        <v>1600</v>
      </c>
      <c r="I26" s="70" t="n">
        <f aca="false">+F26*0.09</f>
        <v>967.5</v>
      </c>
      <c r="J26" s="70" t="n">
        <f aca="false">K26-F26-G26-I26-H26</f>
        <v>2807.5</v>
      </c>
      <c r="K26" s="83" t="n">
        <f aca="false">21500</f>
        <v>21500</v>
      </c>
      <c r="L26" s="71"/>
      <c r="M26" s="45"/>
      <c r="N26" s="45" t="n">
        <v>21500</v>
      </c>
      <c r="O26" s="46"/>
      <c r="P26" s="46" t="n">
        <f aca="false">+O26+N26</f>
        <v>21500</v>
      </c>
      <c r="Q26" s="47" t="n">
        <v>31</v>
      </c>
      <c r="R26" s="48" t="n">
        <f aca="false">ROUND(F26/$Q$1*Q26,0)</f>
        <v>10750</v>
      </c>
      <c r="S26" s="48" t="n">
        <f aca="false">ROUND(G26/$Q$1*Q26,0)</f>
        <v>5375</v>
      </c>
      <c r="T26" s="48" t="n">
        <f aca="false">ROUND(H26/$Q$1*Q26,0)</f>
        <v>1600</v>
      </c>
      <c r="U26" s="48" t="n">
        <f aca="false">ROUND(I26/$Q$1*Q26,0)</f>
        <v>968</v>
      </c>
      <c r="V26" s="48" t="n">
        <f aca="false">ROUND(J26/$Q$1*Q26,0)</f>
        <v>2808</v>
      </c>
      <c r="W26" s="48"/>
      <c r="X26" s="48" t="n">
        <f aca="false">SUM(R26:V26)</f>
        <v>21501</v>
      </c>
      <c r="Y26" s="48" t="n">
        <f aca="false">MIN(1800,IF(L26&gt;0,ROUND((X26-S26)*0.12,0),0))</f>
        <v>0</v>
      </c>
      <c r="Z26" s="48" t="n">
        <f aca="false">+IF(M26&gt;0,ROUNDUP((X26)*0.0075,0),0)</f>
        <v>0</v>
      </c>
      <c r="AA26" s="48" t="n">
        <f aca="false">5000</f>
        <v>5000</v>
      </c>
      <c r="AB26" s="48" t="n">
        <f aca="false">+SUM(Y26:AA26)</f>
        <v>5000</v>
      </c>
      <c r="AC26" s="48" t="n">
        <f aca="false">+X26-AB26+W26</f>
        <v>16501</v>
      </c>
      <c r="AD26" s="95" t="n">
        <f aca="false">'Expenses '!AC24</f>
        <v>5000</v>
      </c>
      <c r="AE26" s="96"/>
      <c r="AH26" s="4"/>
    </row>
    <row r="27" customFormat="false" ht="13.8" hidden="false" customHeight="false" outlineLevel="0" collapsed="false">
      <c r="A27" s="58"/>
      <c r="B27" s="38" t="n">
        <v>17</v>
      </c>
      <c r="C27" s="82" t="s">
        <v>72</v>
      </c>
      <c r="D27" s="97" t="s">
        <v>73</v>
      </c>
      <c r="E27" s="38" t="s">
        <v>43</v>
      </c>
      <c r="F27" s="70" t="n">
        <f aca="false">K27/2</f>
        <v>8909</v>
      </c>
      <c r="G27" s="70" t="n">
        <f aca="false">ROUND(+F27*0.5,0)</f>
        <v>4455</v>
      </c>
      <c r="H27" s="70" t="n">
        <v>1600</v>
      </c>
      <c r="I27" s="70" t="n">
        <f aca="false">+F27*0.09</f>
        <v>801.81</v>
      </c>
      <c r="J27" s="70" t="n">
        <f aca="false">K27-F27-G27-I27-H27</f>
        <v>2052.19</v>
      </c>
      <c r="K27" s="83" t="n">
        <v>17818</v>
      </c>
      <c r="L27" s="71" t="n">
        <f aca="false">ROUND((K27-G27)*0.12,0)</f>
        <v>1604</v>
      </c>
      <c r="M27" s="45" t="n">
        <f aca="false">IF(K27&gt;21000,0,ROUND(K27*0.0325,0))</f>
        <v>579</v>
      </c>
      <c r="N27" s="45" t="n">
        <f aca="false">+K27+L27+M27</f>
        <v>20001</v>
      </c>
      <c r="O27" s="46"/>
      <c r="P27" s="46" t="n">
        <f aca="false">+O27+N27</f>
        <v>20001</v>
      </c>
      <c r="Q27" s="47" t="n">
        <v>21.5</v>
      </c>
      <c r="R27" s="48" t="n">
        <f aca="false">ROUND(F27/$Q$1*Q27,0)</f>
        <v>6179</v>
      </c>
      <c r="S27" s="48" t="n">
        <f aca="false">ROUND(G27/$Q$1*Q27,0)</f>
        <v>3090</v>
      </c>
      <c r="T27" s="48" t="n">
        <f aca="false">ROUND(H27/$Q$1*Q27,0)</f>
        <v>1110</v>
      </c>
      <c r="U27" s="48" t="n">
        <f aca="false">ROUND(I27/$Q$1*Q27,0)</f>
        <v>556</v>
      </c>
      <c r="V27" s="48" t="n">
        <f aca="false">ROUND(J27/$Q$1*Q27,0)</f>
        <v>1423</v>
      </c>
      <c r="W27" s="48"/>
      <c r="X27" s="48" t="n">
        <f aca="false">SUM(R27:V27)</f>
        <v>12358</v>
      </c>
      <c r="Y27" s="48" t="n">
        <f aca="false">MIN(1800,IF(L27&gt;0,ROUND((X27-S27)*0.12,0),0))</f>
        <v>1112</v>
      </c>
      <c r="Z27" s="48" t="n">
        <f aca="false">+IF(M27&gt;0,ROUNDUP((X27)*0.0075,0),0)</f>
        <v>93</v>
      </c>
      <c r="AA27" s="48"/>
      <c r="AB27" s="48" t="n">
        <f aca="false">+SUM(Y27:AA27)</f>
        <v>1205</v>
      </c>
      <c r="AC27" s="48" t="n">
        <f aca="false">+X27-AB27+W27</f>
        <v>11153</v>
      </c>
      <c r="AD27" s="95" t="n">
        <f aca="false">'Expenses '!AC25</f>
        <v>1664</v>
      </c>
      <c r="AE27" s="96"/>
      <c r="AH27" s="4"/>
    </row>
    <row r="28" customFormat="false" ht="13.8" hidden="false" customHeight="false" outlineLevel="0" collapsed="false">
      <c r="A28" s="58"/>
      <c r="B28" s="38" t="n">
        <v>18</v>
      </c>
      <c r="C28" s="82" t="s">
        <v>74</v>
      </c>
      <c r="D28" s="97" t="s">
        <v>75</v>
      </c>
      <c r="E28" s="38" t="s">
        <v>43</v>
      </c>
      <c r="F28" s="70" t="n">
        <f aca="false">K28/2</f>
        <v>11000</v>
      </c>
      <c r="G28" s="70" t="n">
        <f aca="false">ROUND(+F28*0.5,0)</f>
        <v>5500</v>
      </c>
      <c r="H28" s="70" t="n">
        <v>1600</v>
      </c>
      <c r="I28" s="70" t="n">
        <f aca="false">+F28*0.09</f>
        <v>990</v>
      </c>
      <c r="J28" s="70" t="n">
        <f aca="false">K28-F28-G28-I28-H28</f>
        <v>2910</v>
      </c>
      <c r="K28" s="83" t="n">
        <v>22000</v>
      </c>
      <c r="L28" s="71" t="n">
        <v>0</v>
      </c>
      <c r="M28" s="45" t="n">
        <f aca="false">IF(K28&gt;21000,0,ROUND(K28*0.0325,0))</f>
        <v>0</v>
      </c>
      <c r="N28" s="45" t="n">
        <f aca="false">+K28+L28+M28</f>
        <v>22000</v>
      </c>
      <c r="O28" s="46"/>
      <c r="P28" s="46" t="n">
        <f aca="false">+O28+N28</f>
        <v>22000</v>
      </c>
      <c r="Q28" s="98" t="n">
        <v>31</v>
      </c>
      <c r="R28" s="99" t="n">
        <f aca="false">ROUND(F28/$Q$1*Q28,0)</f>
        <v>11000</v>
      </c>
      <c r="S28" s="99" t="n">
        <f aca="false">ROUND(G28/$Q$1*Q28,0)</f>
        <v>5500</v>
      </c>
      <c r="T28" s="99" t="n">
        <f aca="false">ROUND(H28/$Q$1*Q28,0)</f>
        <v>1600</v>
      </c>
      <c r="U28" s="99" t="n">
        <f aca="false">ROUND(I28/$Q$1*Q28,0)</f>
        <v>990</v>
      </c>
      <c r="V28" s="99" t="n">
        <f aca="false">ROUND(J28/$Q$1*Q28,0)</f>
        <v>2910</v>
      </c>
      <c r="W28" s="99"/>
      <c r="X28" s="99" t="n">
        <f aca="false">SUM(R28:V28)</f>
        <v>22000</v>
      </c>
      <c r="Y28" s="99" t="n">
        <f aca="false">MIN(1800,IF(L28&gt;0,ROUND((X28-S28)*0.12,0),0))</f>
        <v>0</v>
      </c>
      <c r="Z28" s="99" t="n">
        <f aca="false">+IF(M28&gt;0,ROUNDUP((X28)*0.0075,0),0)</f>
        <v>0</v>
      </c>
      <c r="AA28" s="99"/>
      <c r="AB28" s="99" t="n">
        <f aca="false">+SUM(Y28:AA28)</f>
        <v>0</v>
      </c>
      <c r="AC28" s="48" t="n">
        <f aca="false">+X28-AB28+W28</f>
        <v>22000</v>
      </c>
      <c r="AD28" s="95" t="n">
        <f aca="false">'Expenses '!AC26</f>
        <v>6500</v>
      </c>
      <c r="AE28" s="78"/>
      <c r="AH28" s="4"/>
    </row>
    <row r="29" customFormat="false" ht="13.8" hidden="false" customHeight="false" outlineLevel="0" collapsed="false">
      <c r="A29" s="58"/>
      <c r="B29" s="38" t="n">
        <v>19</v>
      </c>
      <c r="C29" s="82" t="s">
        <v>76</v>
      </c>
      <c r="D29" s="97" t="s">
        <v>75</v>
      </c>
      <c r="E29" s="38" t="s">
        <v>43</v>
      </c>
      <c r="F29" s="70" t="n">
        <f aca="false">K29/2</f>
        <v>11000</v>
      </c>
      <c r="G29" s="70" t="n">
        <f aca="false">ROUND(+F29*0.5,0)</f>
        <v>5500</v>
      </c>
      <c r="H29" s="70" t="n">
        <v>1600</v>
      </c>
      <c r="I29" s="70" t="n">
        <f aca="false">+F29*0.09</f>
        <v>990</v>
      </c>
      <c r="J29" s="70" t="n">
        <f aca="false">K29-F29-G29-I29-H29</f>
        <v>2910</v>
      </c>
      <c r="K29" s="83" t="n">
        <v>22000</v>
      </c>
      <c r="L29" s="71" t="n">
        <v>0</v>
      </c>
      <c r="M29" s="45" t="n">
        <f aca="false">IF(K29&gt;21000,0,ROUND(K29*0.0325,0))</f>
        <v>0</v>
      </c>
      <c r="N29" s="45" t="n">
        <f aca="false">+K29+L29+M29</f>
        <v>22000</v>
      </c>
      <c r="O29" s="46"/>
      <c r="P29" s="46" t="n">
        <f aca="false">+O29+N29</f>
        <v>22000</v>
      </c>
      <c r="Q29" s="98" t="n">
        <v>27</v>
      </c>
      <c r="R29" s="99" t="n">
        <f aca="false">ROUND(F29/$Q$1*Q29,0)</f>
        <v>9581</v>
      </c>
      <c r="S29" s="99" t="n">
        <f aca="false">ROUND(G29/$Q$1*Q29,0)</f>
        <v>4790</v>
      </c>
      <c r="T29" s="99" t="n">
        <f aca="false">ROUND(H29/$Q$1*Q29,0)</f>
        <v>1394</v>
      </c>
      <c r="U29" s="99" t="n">
        <f aca="false">ROUND(I29/$Q$1*Q29,0)</f>
        <v>862</v>
      </c>
      <c r="V29" s="99" t="n">
        <f aca="false">ROUND(J29/$Q$1*Q29,0)</f>
        <v>2535</v>
      </c>
      <c r="W29" s="99"/>
      <c r="X29" s="99" t="n">
        <f aca="false">SUM(R29:V29)</f>
        <v>19162</v>
      </c>
      <c r="Y29" s="99" t="n">
        <f aca="false">MIN(1800,IF(L29&gt;0,ROUND((X29-S29)*0.12,0),0))</f>
        <v>0</v>
      </c>
      <c r="Z29" s="99" t="n">
        <f aca="false">+IF(M29&gt;0,ROUNDUP((X29)*0.0075,0),0)</f>
        <v>0</v>
      </c>
      <c r="AA29" s="99"/>
      <c r="AB29" s="99" t="n">
        <f aca="false">+SUM(Y29:AA29)</f>
        <v>0</v>
      </c>
      <c r="AC29" s="48" t="n">
        <f aca="false">+X29-AB29+W29</f>
        <v>19162</v>
      </c>
      <c r="AD29" s="49" t="n">
        <f aca="false">'Expenses '!AC27</f>
        <v>5660</v>
      </c>
      <c r="AE29" s="78"/>
      <c r="AH29" s="4"/>
    </row>
    <row r="30" customFormat="false" ht="13.8" hidden="false" customHeight="false" outlineLevel="0" collapsed="false">
      <c r="A30" s="58"/>
      <c r="B30" s="38" t="n">
        <v>20</v>
      </c>
      <c r="C30" s="82" t="s">
        <v>77</v>
      </c>
      <c r="D30" s="97" t="s">
        <v>78</v>
      </c>
      <c r="E30" s="38" t="s">
        <v>43</v>
      </c>
      <c r="F30" s="70" t="n">
        <f aca="false">K30/2</f>
        <v>19100</v>
      </c>
      <c r="G30" s="70" t="n">
        <f aca="false">ROUND(+F30*0.5,0)</f>
        <v>9550</v>
      </c>
      <c r="H30" s="70" t="n">
        <v>1600</v>
      </c>
      <c r="I30" s="70" t="n">
        <f aca="false">+F30*0.09</f>
        <v>1719</v>
      </c>
      <c r="J30" s="70" t="n">
        <f aca="false">K30-F30-G30-I30-H30</f>
        <v>6231</v>
      </c>
      <c r="K30" s="83" t="n">
        <v>38200</v>
      </c>
      <c r="L30" s="71" t="n">
        <v>1800</v>
      </c>
      <c r="M30" s="45"/>
      <c r="N30" s="45" t="n">
        <f aca="false">+K30+L30+M30</f>
        <v>40000</v>
      </c>
      <c r="O30" s="46"/>
      <c r="P30" s="46" t="n">
        <f aca="false">+O30+N30</f>
        <v>40000</v>
      </c>
      <c r="Q30" s="98" t="n">
        <v>31</v>
      </c>
      <c r="R30" s="99" t="n">
        <f aca="false">ROUND(F30/$Q$1*Q30,0)</f>
        <v>19100</v>
      </c>
      <c r="S30" s="99" t="n">
        <f aca="false">ROUND(G30/$Q$1*Q30,0)</f>
        <v>9550</v>
      </c>
      <c r="T30" s="99" t="n">
        <f aca="false">ROUND(H30/$Q$1*Q30,0)</f>
        <v>1600</v>
      </c>
      <c r="U30" s="99" t="n">
        <f aca="false">ROUND(I30/$Q$1*Q30,0)</f>
        <v>1719</v>
      </c>
      <c r="V30" s="99" t="n">
        <f aca="false">ROUND(J30/$Q$1*Q30,0)</f>
        <v>6231</v>
      </c>
      <c r="W30" s="99"/>
      <c r="X30" s="99" t="n">
        <f aca="false">SUM(R30:V30)</f>
        <v>38200</v>
      </c>
      <c r="Y30" s="99" t="n">
        <f aca="false">MIN(1800,IF(L30&gt;0,ROUND((X30-S30)*0.12,0),0))</f>
        <v>1800</v>
      </c>
      <c r="Z30" s="99" t="n">
        <f aca="false">+IF(M30&gt;0,ROUNDUP((X30)*0.0075,0),0)</f>
        <v>0</v>
      </c>
      <c r="AA30" s="99"/>
      <c r="AB30" s="99" t="n">
        <f aca="false">+SUM(Y30:AA30)</f>
        <v>1800</v>
      </c>
      <c r="AC30" s="48" t="n">
        <f aca="false">+X30-AB30+W30</f>
        <v>36400</v>
      </c>
      <c r="AD30" s="49" t="n">
        <f aca="false">'Expenses '!AC28</f>
        <v>7000</v>
      </c>
      <c r="AE30" s="100" t="s">
        <v>79</v>
      </c>
      <c r="AH30" s="4"/>
    </row>
    <row r="31" s="109" customFormat="true" ht="13.8" hidden="false" customHeight="false" outlineLevel="0" collapsed="false">
      <c r="A31" s="85" t="s">
        <v>52</v>
      </c>
      <c r="B31" s="38" t="n">
        <v>21</v>
      </c>
      <c r="C31" s="86" t="s">
        <v>80</v>
      </c>
      <c r="D31" s="101" t="s">
        <v>81</v>
      </c>
      <c r="E31" s="88" t="s">
        <v>43</v>
      </c>
      <c r="F31" s="102" t="n">
        <f aca="false">K31/2</f>
        <v>11350</v>
      </c>
      <c r="G31" s="102" t="n">
        <f aca="false">ROUND(+F31*0.5,0)</f>
        <v>5675</v>
      </c>
      <c r="H31" s="102" t="n">
        <v>1600</v>
      </c>
      <c r="I31" s="102" t="n">
        <f aca="false">+F31*0.09</f>
        <v>1021.5</v>
      </c>
      <c r="J31" s="102" t="n">
        <f aca="false">K31-F31-G31-I31-H31</f>
        <v>3053.5</v>
      </c>
      <c r="K31" s="103" t="n">
        <v>22700</v>
      </c>
      <c r="L31" s="104" t="n">
        <v>0</v>
      </c>
      <c r="M31" s="103" t="n">
        <f aca="false">IF(K31&gt;21000,0,ROUND(K31*0.0325,0))</f>
        <v>0</v>
      </c>
      <c r="N31" s="103" t="n">
        <f aca="false">+K31+L31+M31</f>
        <v>22700</v>
      </c>
      <c r="O31" s="105"/>
      <c r="P31" s="105" t="n">
        <f aca="false">+O31+N31</f>
        <v>22700</v>
      </c>
      <c r="Q31" s="106" t="n">
        <v>28</v>
      </c>
      <c r="R31" s="103" t="n">
        <f aca="false">ROUND(F31/$Q$1*Q31,0)</f>
        <v>10252</v>
      </c>
      <c r="S31" s="103" t="n">
        <f aca="false">ROUND(G31/$Q$1*Q31,0)</f>
        <v>5126</v>
      </c>
      <c r="T31" s="103" t="n">
        <f aca="false">ROUND(H31/$Q$1*Q31,0)</f>
        <v>1445</v>
      </c>
      <c r="U31" s="103" t="n">
        <f aca="false">ROUND(I31/$Q$1*Q31,0)</f>
        <v>923</v>
      </c>
      <c r="V31" s="103" t="n">
        <f aca="false">ROUND(J31/$Q$1*Q31,0)</f>
        <v>2758</v>
      </c>
      <c r="W31" s="107"/>
      <c r="X31" s="103" t="n">
        <f aca="false">SUM(R31:V31)</f>
        <v>20504</v>
      </c>
      <c r="Y31" s="103" t="n">
        <f aca="false">MIN(1800,IF(L31&gt;0,ROUND((X31-S31)*0.12,0),0))</f>
        <v>0</v>
      </c>
      <c r="Z31" s="103" t="n">
        <f aca="false">+IF(M31&gt;0,ROUNDUP((X31)*0.0075,0),0)</f>
        <v>0</v>
      </c>
      <c r="AA31" s="103"/>
      <c r="AB31" s="103" t="n">
        <f aca="false">+SUM(Y31:AA31)</f>
        <v>0</v>
      </c>
      <c r="AC31" s="105" t="n">
        <f aca="false">+X31-AB31+W31</f>
        <v>20504</v>
      </c>
      <c r="AD31" s="105" t="n">
        <f aca="false">'Expenses '!AC29</f>
        <v>0</v>
      </c>
      <c r="AE31" s="108"/>
      <c r="AF31" s="1"/>
      <c r="AH31" s="11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3.8" hidden="false" customHeight="false" outlineLevel="0" collapsed="false">
      <c r="A32" s="58"/>
      <c r="B32" s="38" t="n">
        <v>22</v>
      </c>
      <c r="C32" s="82" t="s">
        <v>82</v>
      </c>
      <c r="D32" s="97" t="s">
        <v>83</v>
      </c>
      <c r="E32" s="38" t="s">
        <v>43</v>
      </c>
      <c r="F32" s="70" t="n">
        <f aca="false">K32/2</f>
        <v>8018</v>
      </c>
      <c r="G32" s="70" t="n">
        <f aca="false">ROUND(+F32*0.5,0)</f>
        <v>4009</v>
      </c>
      <c r="H32" s="70" t="n">
        <v>1600</v>
      </c>
      <c r="I32" s="70" t="n">
        <f aca="false">+F32*0.09</f>
        <v>721.62</v>
      </c>
      <c r="J32" s="70" t="n">
        <f aca="false">K32-F32-G32-I32-H32</f>
        <v>1687.38</v>
      </c>
      <c r="K32" s="83" t="n">
        <v>16036</v>
      </c>
      <c r="L32" s="71" t="n">
        <f aca="false">ROUND((K32-G32)*0.12,0)</f>
        <v>1443</v>
      </c>
      <c r="M32" s="45" t="n">
        <f aca="false">IF(K32&gt;21000,0,ROUND(K32*0.0325,0))</f>
        <v>521</v>
      </c>
      <c r="N32" s="45" t="n">
        <f aca="false">+K32+L32+M32</f>
        <v>18000</v>
      </c>
      <c r="O32" s="46"/>
      <c r="P32" s="46" t="n">
        <f aca="false">+O32+N32</f>
        <v>18000</v>
      </c>
      <c r="Q32" s="98" t="n">
        <v>31</v>
      </c>
      <c r="R32" s="99" t="n">
        <f aca="false">ROUND(F32/$Q$1*Q32,0)</f>
        <v>8018</v>
      </c>
      <c r="S32" s="99" t="n">
        <f aca="false">ROUND(G32/$Q$1*Q32,0)</f>
        <v>4009</v>
      </c>
      <c r="T32" s="99" t="n">
        <f aca="false">ROUND(H32/$Q$1*Q32,0)</f>
        <v>1600</v>
      </c>
      <c r="U32" s="99" t="n">
        <f aca="false">ROUND(I32/$Q$1*Q32,0)</f>
        <v>722</v>
      </c>
      <c r="V32" s="99" t="n">
        <f aca="false">ROUND(J32/$Q$1*Q32,0)</f>
        <v>1687</v>
      </c>
      <c r="W32" s="99"/>
      <c r="X32" s="99" t="n">
        <f aca="false">SUM(R32:V32)</f>
        <v>16036</v>
      </c>
      <c r="Y32" s="99" t="n">
        <f aca="false">MIN(1800,IF(L32&gt;0,ROUND((X32-S32)*0.12,0),0))</f>
        <v>1443</v>
      </c>
      <c r="Z32" s="99" t="n">
        <f aca="false">+IF(M32&gt;0,ROUNDUP((X32)*0.0075,0),0)</f>
        <v>121</v>
      </c>
      <c r="AA32" s="99"/>
      <c r="AB32" s="99" t="n">
        <f aca="false">+SUM(Y32:AA32)</f>
        <v>1564</v>
      </c>
      <c r="AC32" s="48" t="n">
        <f aca="false">+X32-AB32+W32</f>
        <v>14472</v>
      </c>
      <c r="AD32" s="49" t="n">
        <f aca="false">'Expenses '!AC30</f>
        <v>0</v>
      </c>
      <c r="AE32" s="96"/>
      <c r="AH32" s="4"/>
    </row>
    <row r="33" customFormat="false" ht="13.8" hidden="false" customHeight="false" outlineLevel="0" collapsed="false">
      <c r="A33" s="58"/>
      <c r="B33" s="38" t="n">
        <v>23</v>
      </c>
      <c r="C33" s="82" t="s">
        <v>84</v>
      </c>
      <c r="D33" s="97" t="s">
        <v>85</v>
      </c>
      <c r="E33" s="38" t="s">
        <v>43</v>
      </c>
      <c r="F33" s="70" t="n">
        <f aca="false">K33/2</f>
        <v>9518</v>
      </c>
      <c r="G33" s="70" t="n">
        <f aca="false">ROUND(+F33*0.5,0)</f>
        <v>4759</v>
      </c>
      <c r="H33" s="70" t="n">
        <v>1600</v>
      </c>
      <c r="I33" s="70" t="n">
        <f aca="false">+F33*0.09</f>
        <v>856.62</v>
      </c>
      <c r="J33" s="70" t="n">
        <f aca="false">K33-F33-G33-I33-H33</f>
        <v>2302.38</v>
      </c>
      <c r="K33" s="83" t="n">
        <f aca="false">16036+3000</f>
        <v>19036</v>
      </c>
      <c r="L33" s="71" t="n">
        <f aca="false">ROUND((K33-G33)*0.12,0)</f>
        <v>1713</v>
      </c>
      <c r="M33" s="45"/>
      <c r="N33" s="45" t="n">
        <f aca="false">+K33+L33+M33</f>
        <v>20749</v>
      </c>
      <c r="O33" s="46"/>
      <c r="P33" s="46" t="n">
        <f aca="false">+O33+N33</f>
        <v>20749</v>
      </c>
      <c r="Q33" s="98" t="n">
        <v>30</v>
      </c>
      <c r="R33" s="99" t="n">
        <f aca="false">ROUND(F33/$Q$1*Q33,0)</f>
        <v>9211</v>
      </c>
      <c r="S33" s="99" t="n">
        <f aca="false">ROUND(G33/$Q$1*Q33,0)</f>
        <v>4605</v>
      </c>
      <c r="T33" s="99" t="n">
        <f aca="false">ROUND(H33/$Q$1*Q33,0)</f>
        <v>1548</v>
      </c>
      <c r="U33" s="99" t="n">
        <f aca="false">ROUND(I33/$Q$1*Q33,0)</f>
        <v>829</v>
      </c>
      <c r="V33" s="99" t="n">
        <f aca="false">ROUND(J33/$Q$1*Q33,0)</f>
        <v>2228</v>
      </c>
      <c r="W33" s="99"/>
      <c r="X33" s="99" t="n">
        <f aca="false">SUM(R33:V33)</f>
        <v>18421</v>
      </c>
      <c r="Y33" s="99" t="n">
        <f aca="false">MIN(1800,IF(L33&gt;0,ROUND((X33-S33)*0.12,0),0))</f>
        <v>1658</v>
      </c>
      <c r="Z33" s="99" t="n">
        <f aca="false">+IF(M33&gt;0,ROUNDUP((X33)*0.0075,0),0)</f>
        <v>0</v>
      </c>
      <c r="AA33" s="99"/>
      <c r="AB33" s="99" t="n">
        <f aca="false">+SUM(Y33:AA33)</f>
        <v>1658</v>
      </c>
      <c r="AC33" s="48" t="n">
        <f aca="false">+X33-AB33+W33</f>
        <v>16763</v>
      </c>
      <c r="AD33" s="49" t="n">
        <f aca="false">'Expenses '!AC31</f>
        <v>0</v>
      </c>
      <c r="AE33" s="96" t="s">
        <v>86</v>
      </c>
      <c r="AH33" s="4"/>
    </row>
    <row r="34" customFormat="false" ht="13.8" hidden="false" customHeight="false" outlineLevel="0" collapsed="false">
      <c r="A34" s="58"/>
      <c r="B34" s="38" t="n">
        <v>24</v>
      </c>
      <c r="C34" s="111" t="s">
        <v>87</v>
      </c>
      <c r="D34" s="97" t="s">
        <v>88</v>
      </c>
      <c r="E34" s="38" t="s">
        <v>43</v>
      </c>
      <c r="F34" s="70" t="n">
        <f aca="false">K34/2</f>
        <v>14000</v>
      </c>
      <c r="G34" s="70" t="n">
        <f aca="false">ROUND(+F34*0.5,0)</f>
        <v>7000</v>
      </c>
      <c r="H34" s="70" t="n">
        <v>1600</v>
      </c>
      <c r="I34" s="70" t="n">
        <f aca="false">+F34*0.09</f>
        <v>1260</v>
      </c>
      <c r="J34" s="70" t="n">
        <f aca="false">K34-F34-G34-I34-H34</f>
        <v>4140</v>
      </c>
      <c r="K34" s="83" t="n">
        <v>28000</v>
      </c>
      <c r="L34" s="71" t="n">
        <v>1800</v>
      </c>
      <c r="M34" s="45" t="n">
        <f aca="false">IF(K34&gt;21000,0,ROUND(K34*0.0325,0))</f>
        <v>0</v>
      </c>
      <c r="N34" s="45" t="n">
        <f aca="false">+K34+L34+M34</f>
        <v>29800</v>
      </c>
      <c r="O34" s="46"/>
      <c r="P34" s="46" t="n">
        <f aca="false">+O34+N34</f>
        <v>29800</v>
      </c>
      <c r="Q34" s="47" t="n">
        <v>31</v>
      </c>
      <c r="R34" s="48" t="n">
        <f aca="false">ROUND(F34/$Q$1*Q34,0)</f>
        <v>14000</v>
      </c>
      <c r="S34" s="48" t="n">
        <f aca="false">ROUND(G34/$Q$1*Q34,0)</f>
        <v>7000</v>
      </c>
      <c r="T34" s="48" t="n">
        <f aca="false">ROUND(H34/$Q$1*Q34,0)</f>
        <v>1600</v>
      </c>
      <c r="U34" s="48" t="n">
        <f aca="false">ROUND(I34/$Q$1*Q34,0)</f>
        <v>1260</v>
      </c>
      <c r="V34" s="48" t="n">
        <f aca="false">ROUND(J34/$Q$1*Q34,0)</f>
        <v>4140</v>
      </c>
      <c r="W34" s="48"/>
      <c r="X34" s="48" t="n">
        <f aca="false">SUM(R34:V34)</f>
        <v>28000</v>
      </c>
      <c r="Y34" s="48" t="n">
        <f aca="false">MIN(1800,IF(L34&gt;0,ROUND((X34-S34)*0.12,0),0))</f>
        <v>1800</v>
      </c>
      <c r="Z34" s="48" t="n">
        <f aca="false">+IF(M34&gt;0,ROUNDUP((X34)*0.0075,0),0)</f>
        <v>0</v>
      </c>
      <c r="AA34" s="48"/>
      <c r="AB34" s="48" t="n">
        <f aca="false">+SUM(Y34:AA34)</f>
        <v>1800</v>
      </c>
      <c r="AC34" s="48" t="n">
        <f aca="false">+X34-AB34+W34</f>
        <v>26200</v>
      </c>
      <c r="AD34" s="49"/>
      <c r="AE34" s="96"/>
      <c r="AH34" s="4"/>
    </row>
    <row r="35" customFormat="false" ht="13.8" hidden="false" customHeight="false" outlineLevel="0" collapsed="false">
      <c r="A35" s="58"/>
      <c r="B35" s="38" t="n">
        <v>25</v>
      </c>
      <c r="C35" s="111" t="s">
        <v>89</v>
      </c>
      <c r="D35" s="97" t="s">
        <v>37</v>
      </c>
      <c r="E35" s="38" t="s">
        <v>43</v>
      </c>
      <c r="F35" s="70" t="n">
        <f aca="false">K35/2</f>
        <v>9000</v>
      </c>
      <c r="G35" s="70" t="n">
        <f aca="false">ROUND(+F35*0.5,0)</f>
        <v>4500</v>
      </c>
      <c r="H35" s="70" t="n">
        <v>1600</v>
      </c>
      <c r="I35" s="70" t="n">
        <f aca="false">+F35*0.09</f>
        <v>810</v>
      </c>
      <c r="J35" s="70" t="n">
        <f aca="false">K35-F35-G35-I35-H35</f>
        <v>2090</v>
      </c>
      <c r="K35" s="83" t="n">
        <v>18000</v>
      </c>
      <c r="L35" s="71" t="n">
        <f aca="false">ROUND((K35-G35)*0.12,0)</f>
        <v>1620</v>
      </c>
      <c r="M35" s="45" t="n">
        <f aca="false">IF(K35&gt;21000,0,ROUND(K35*0.0325,0))</f>
        <v>585</v>
      </c>
      <c r="N35" s="45" t="n">
        <f aca="false">+K35+L35+M35</f>
        <v>20205</v>
      </c>
      <c r="O35" s="46"/>
      <c r="P35" s="46" t="n">
        <f aca="false">+O35+N35</f>
        <v>20205</v>
      </c>
      <c r="Q35" s="98" t="n">
        <v>31</v>
      </c>
      <c r="R35" s="99" t="n">
        <f aca="false">ROUND(F35/$Q$1*Q35,0)</f>
        <v>9000</v>
      </c>
      <c r="S35" s="99" t="n">
        <f aca="false">ROUND(G35/$Q$1*Q35,0)</f>
        <v>4500</v>
      </c>
      <c r="T35" s="99" t="n">
        <f aca="false">ROUND(H35/$Q$1*Q35,0)</f>
        <v>1600</v>
      </c>
      <c r="U35" s="99" t="n">
        <f aca="false">ROUND(I35/$Q$1*Q35,0)</f>
        <v>810</v>
      </c>
      <c r="V35" s="99" t="n">
        <f aca="false">ROUND(J35/$Q$1*Q35,0)</f>
        <v>2090</v>
      </c>
      <c r="W35" s="99"/>
      <c r="X35" s="99" t="n">
        <f aca="false">SUM(R35:V35)</f>
        <v>18000</v>
      </c>
      <c r="Y35" s="99" t="n">
        <f aca="false">MIN(1800,IF(L35&gt;0,ROUND((X35-S35)*0.12,0),0))</f>
        <v>1620</v>
      </c>
      <c r="Z35" s="99" t="n">
        <f aca="false">+IF(M35&gt;0,ROUNDUP((X35)*0.0075,0),0)</f>
        <v>135</v>
      </c>
      <c r="AA35" s="99"/>
      <c r="AB35" s="99" t="n">
        <f aca="false">+SUM(Y35:AA35)</f>
        <v>1755</v>
      </c>
      <c r="AC35" s="48" t="n">
        <f aca="false">+X35-AB35+W35</f>
        <v>16245</v>
      </c>
      <c r="AD35" s="49"/>
      <c r="AE35" s="96" t="s">
        <v>90</v>
      </c>
      <c r="AH35" s="4"/>
    </row>
    <row r="36" customFormat="false" ht="13.8" hidden="false" customHeight="false" outlineLevel="0" collapsed="false">
      <c r="A36" s="58"/>
      <c r="B36" s="38" t="n">
        <v>26</v>
      </c>
      <c r="C36" s="82" t="s">
        <v>91</v>
      </c>
      <c r="D36" s="97" t="s">
        <v>37</v>
      </c>
      <c r="E36" s="38" t="s">
        <v>43</v>
      </c>
      <c r="F36" s="70" t="n">
        <f aca="false">K36/2</f>
        <v>11000</v>
      </c>
      <c r="G36" s="70" t="n">
        <f aca="false">ROUND(+F36*0.5,0)</f>
        <v>5500</v>
      </c>
      <c r="H36" s="70" t="n">
        <v>1600</v>
      </c>
      <c r="I36" s="70" t="n">
        <f aca="false">+F36*0.09</f>
        <v>990</v>
      </c>
      <c r="J36" s="70" t="n">
        <f aca="false">K36-F36-G36-I36-H36</f>
        <v>2910</v>
      </c>
      <c r="K36" s="83" t="n">
        <v>22000</v>
      </c>
      <c r="L36" s="71" t="n">
        <v>1800</v>
      </c>
      <c r="M36" s="45" t="n">
        <f aca="false">IF(K36&gt;21000,0,ROUND(K36*0.0325,0))</f>
        <v>0</v>
      </c>
      <c r="N36" s="45" t="n">
        <f aca="false">+K36+L36+M36</f>
        <v>23800</v>
      </c>
      <c r="O36" s="46"/>
      <c r="P36" s="46" t="n">
        <f aca="false">+O36+N36</f>
        <v>23800</v>
      </c>
      <c r="Q36" s="98" t="n">
        <v>31</v>
      </c>
      <c r="R36" s="99" t="n">
        <f aca="false">ROUND(F36/$Q$1*Q36,0)</f>
        <v>11000</v>
      </c>
      <c r="S36" s="99" t="n">
        <f aca="false">ROUND(G36/$Q$1*Q36,0)</f>
        <v>5500</v>
      </c>
      <c r="T36" s="99" t="n">
        <f aca="false">ROUND(H36/$Q$1*Q36,0)</f>
        <v>1600</v>
      </c>
      <c r="U36" s="99" t="n">
        <f aca="false">ROUND(I36/$Q$1*Q36,0)</f>
        <v>990</v>
      </c>
      <c r="V36" s="99" t="n">
        <f aca="false">ROUND(J36/$Q$1*Q36,0)</f>
        <v>2910</v>
      </c>
      <c r="W36" s="99" t="n">
        <v>7000</v>
      </c>
      <c r="X36" s="99" t="n">
        <f aca="false">SUM(R36:V36)</f>
        <v>22000</v>
      </c>
      <c r="Y36" s="99" t="n">
        <f aca="false">MIN(1800,IF(L36&gt;0,ROUND((X36-S36)*0.12,0),0))</f>
        <v>1800</v>
      </c>
      <c r="Z36" s="99" t="n">
        <f aca="false">+IF(M36&gt;0,ROUNDUP((X36)*0.0075,0),0)</f>
        <v>0</v>
      </c>
      <c r="AA36" s="99"/>
      <c r="AB36" s="99" t="n">
        <f aca="false">+SUM(Y36:AA36)</f>
        <v>1800</v>
      </c>
      <c r="AC36" s="105" t="n">
        <f aca="false">+X36-AB36+W36</f>
        <v>27200</v>
      </c>
      <c r="AD36" s="49"/>
      <c r="AE36" s="96" t="s">
        <v>92</v>
      </c>
      <c r="AH36" s="4"/>
    </row>
    <row r="37" customFormat="false" ht="13.8" hidden="false" customHeight="false" outlineLevel="0" collapsed="false">
      <c r="A37" s="58"/>
      <c r="B37" s="30"/>
      <c r="C37" s="112"/>
      <c r="D37" s="59"/>
      <c r="E37" s="30" t="s">
        <v>39</v>
      </c>
      <c r="F37" s="60" t="n">
        <f aca="false">SUM(F11:F36)</f>
        <v>321820</v>
      </c>
      <c r="G37" s="60" t="n">
        <f aca="false">SUM(G11:G36)</f>
        <v>160911</v>
      </c>
      <c r="H37" s="60" t="n">
        <f aca="false">SUM(H11:H36)</f>
        <v>41600</v>
      </c>
      <c r="I37" s="60" t="n">
        <f aca="false">SUM(I11:I36)</f>
        <v>28963.8</v>
      </c>
      <c r="J37" s="60" t="n">
        <f aca="false">SUM(J11:J36)</f>
        <v>90345.2</v>
      </c>
      <c r="K37" s="60" t="n">
        <f aca="false">SUM(K11:K36)</f>
        <v>643640</v>
      </c>
      <c r="L37" s="60" t="n">
        <f aca="false">SUM(L11:L36)</f>
        <v>29091</v>
      </c>
      <c r="M37" s="60" t="n">
        <f aca="false">SUM(M11:M36)</f>
        <v>2737</v>
      </c>
      <c r="N37" s="60" t="n">
        <f aca="false">SUM(N11:N36)</f>
        <v>675468</v>
      </c>
      <c r="O37" s="60" t="n">
        <f aca="false">SUM(O11:O33)</f>
        <v>0</v>
      </c>
      <c r="P37" s="60" t="n">
        <f aca="false">SUM(P11:P36)</f>
        <v>675468</v>
      </c>
      <c r="Q37" s="60"/>
      <c r="R37" s="60" t="n">
        <f aca="false">SUM(R11:R36)</f>
        <v>296373</v>
      </c>
      <c r="S37" s="60" t="n">
        <f aca="false">SUM(S11:S36)</f>
        <v>148186</v>
      </c>
      <c r="T37" s="60" t="n">
        <f aca="false">SUM(T11:T36)</f>
        <v>37935</v>
      </c>
      <c r="U37" s="60" t="n">
        <f aca="false">SUM(U11:U36)</f>
        <v>26677</v>
      </c>
      <c r="V37" s="60" t="n">
        <f aca="false">SUM(V11:V36)</f>
        <v>83577</v>
      </c>
      <c r="W37" s="60" t="n">
        <f aca="false">SUM(W11:W36)</f>
        <v>7000</v>
      </c>
      <c r="X37" s="60" t="n">
        <f aca="false">SUM(X11:X36)</f>
        <v>592748</v>
      </c>
      <c r="Y37" s="60" t="n">
        <f aca="false">SUM(Y11:Y36)</f>
        <v>31002</v>
      </c>
      <c r="Z37" s="60" t="n">
        <f aca="false">SUM(Z11:Z36)</f>
        <v>593</v>
      </c>
      <c r="AA37" s="60" t="n">
        <f aca="false">SUM(AA11:AA36)</f>
        <v>22000</v>
      </c>
      <c r="AB37" s="60" t="n">
        <f aca="false">SUM(AB11:AB36)</f>
        <v>53595</v>
      </c>
      <c r="AC37" s="60" t="n">
        <f aca="false">SUM(AC11:AC36)</f>
        <v>546153</v>
      </c>
      <c r="AD37" s="49" t="n">
        <f aca="false">'Expenses '!AC35</f>
        <v>82028</v>
      </c>
      <c r="AE37" s="113" t="n">
        <f aca="false">AC37+AD37</f>
        <v>628181</v>
      </c>
      <c r="AF37" s="60"/>
      <c r="AG37" s="114"/>
      <c r="AH37" s="115"/>
    </row>
    <row r="38" customFormat="false" ht="13.8" hidden="false" customHeight="false" outlineLevel="0" collapsed="false">
      <c r="D38" s="116" t="s">
        <v>93</v>
      </c>
      <c r="E38" s="117"/>
      <c r="F38" s="118" t="n">
        <f aca="false">+F37+F9</f>
        <v>358009.5</v>
      </c>
      <c r="G38" s="118" t="n">
        <f aca="false">+G37+G9</f>
        <v>179006</v>
      </c>
      <c r="H38" s="118" t="n">
        <f aca="false">+H37+H9</f>
        <v>46401</v>
      </c>
      <c r="I38" s="118" t="n">
        <f aca="false">+I37+I9</f>
        <v>32220.855</v>
      </c>
      <c r="J38" s="118" t="n">
        <f aca="false">+J37+J9</f>
        <v>100381.645</v>
      </c>
      <c r="K38" s="118" t="n">
        <f aca="false">+K37+K9</f>
        <v>716019</v>
      </c>
      <c r="L38" s="118" t="n">
        <f aca="false">+L37+L9</f>
        <v>32005</v>
      </c>
      <c r="M38" s="118" t="n">
        <f aca="false">+M37+M9</f>
        <v>2737</v>
      </c>
      <c r="N38" s="118" t="n">
        <f aca="false">+N37+N9</f>
        <v>750761</v>
      </c>
      <c r="O38" s="118" t="n">
        <f aca="false">+O37+O9</f>
        <v>0</v>
      </c>
      <c r="P38" s="118" t="n">
        <f aca="false">+P37+P9</f>
        <v>750761</v>
      </c>
      <c r="Q38" s="119"/>
      <c r="R38" s="118" t="n">
        <f aca="false">+R37+R9</f>
        <v>326853</v>
      </c>
      <c r="S38" s="118" t="n">
        <f aca="false">+S37+S9</f>
        <v>163427</v>
      </c>
      <c r="T38" s="118" t="n">
        <f aca="false">+T37+T9</f>
        <v>42194</v>
      </c>
      <c r="U38" s="118" t="n">
        <f aca="false">+U37+U9</f>
        <v>29421</v>
      </c>
      <c r="V38" s="118" t="n">
        <f aca="false">+V37+V9</f>
        <v>91814</v>
      </c>
      <c r="W38" s="118" t="n">
        <f aca="false">+W37+W9</f>
        <v>13589</v>
      </c>
      <c r="X38" s="118" t="n">
        <f aca="false">+X37+X9</f>
        <v>653709</v>
      </c>
      <c r="Y38" s="118" t="n">
        <f aca="false">+Y37+Y9</f>
        <v>33759</v>
      </c>
      <c r="Z38" s="118" t="n">
        <f aca="false">+Z37+Z9</f>
        <v>593</v>
      </c>
      <c r="AA38" s="118" t="n">
        <f aca="false">+AA37+AA9</f>
        <v>27000</v>
      </c>
      <c r="AB38" s="118" t="n">
        <f aca="false">+AB37+AB9</f>
        <v>61352</v>
      </c>
      <c r="AC38" s="118" t="n">
        <f aca="false">+AC37+AC9</f>
        <v>605946</v>
      </c>
      <c r="AD38" s="118" t="n">
        <f aca="false">+AD37+AD9</f>
        <v>83528</v>
      </c>
      <c r="AE38" s="120"/>
    </row>
    <row r="39" customFormat="false" ht="13.8" hidden="false" customHeight="false" outlineLevel="0" collapsed="false">
      <c r="W39" s="118"/>
      <c r="AC39" s="4"/>
      <c r="AD39" s="4"/>
      <c r="AE39" s="29"/>
    </row>
    <row r="40" customFormat="false" ht="13.8" hidden="false" customHeight="false" outlineLevel="0" collapsed="false">
      <c r="Q40" s="121"/>
      <c r="AC40" s="4"/>
      <c r="AD40" s="4"/>
      <c r="AE40" s="29"/>
      <c r="AF40" s="114"/>
    </row>
    <row r="41" customFormat="false" ht="13.8" hidden="false" customHeight="false" outlineLevel="0" collapsed="false">
      <c r="Q41" s="121"/>
      <c r="AC41" s="4"/>
      <c r="AD41" s="4"/>
    </row>
    <row r="42" customFormat="false" ht="13.8" hidden="false" customHeight="false" outlineLevel="0" collapsed="false">
      <c r="Q42" s="121"/>
      <c r="Z42" s="2"/>
      <c r="AA42" s="2"/>
      <c r="AB42" s="2"/>
      <c r="AC42" s="2"/>
    </row>
    <row r="43" customFormat="false" ht="13.8" hidden="false" customHeight="false" outlineLevel="0" collapsed="false">
      <c r="Z43" s="2"/>
      <c r="AA43" s="2"/>
      <c r="AB43" s="2"/>
      <c r="AC43" s="2"/>
    </row>
    <row r="44" customFormat="false" ht="13.8" hidden="false" customHeight="false" outlineLevel="0" collapsed="false">
      <c r="B44" s="122"/>
      <c r="C44" s="122"/>
      <c r="D44" s="122"/>
      <c r="E44" s="122"/>
      <c r="F44" s="122"/>
      <c r="S44" s="1" t="s">
        <v>31</v>
      </c>
      <c r="T44" s="1" t="s">
        <v>28</v>
      </c>
      <c r="U44" s="123" t="n">
        <f aca="false">AC9+AD9</f>
        <v>61293</v>
      </c>
      <c r="Y44" s="124"/>
      <c r="Z44" s="125" t="s">
        <v>43</v>
      </c>
      <c r="AA44" s="2"/>
      <c r="AB44" s="126" t="s">
        <v>94</v>
      </c>
      <c r="AC44" s="127" t="n">
        <f aca="false">AC37+AD37</f>
        <v>628181</v>
      </c>
      <c r="AD44" s="128"/>
      <c r="AE44" s="124"/>
    </row>
    <row r="45" customFormat="false" ht="13.8" hidden="false" customHeight="false" outlineLevel="0" collapsed="false">
      <c r="B45" s="122"/>
      <c r="C45" s="122"/>
      <c r="D45" s="122"/>
      <c r="E45" s="122"/>
      <c r="F45" s="122"/>
      <c r="Y45" s="124"/>
      <c r="Z45" s="129" t="s">
        <v>95</v>
      </c>
      <c r="AA45" s="2"/>
      <c r="AB45" s="130" t="s">
        <v>96</v>
      </c>
      <c r="AC45" s="131" t="n">
        <f aca="false">AA48</f>
        <v>57902</v>
      </c>
      <c r="AD45" s="128"/>
      <c r="AE45" s="124"/>
    </row>
    <row r="46" customFormat="false" ht="13.8" hidden="false" customHeight="false" outlineLevel="0" collapsed="false">
      <c r="B46" s="122"/>
      <c r="C46" s="122"/>
      <c r="D46" s="122"/>
      <c r="E46" s="122"/>
      <c r="F46" s="122"/>
      <c r="Y46" s="132"/>
      <c r="Z46" s="133" t="s">
        <v>50</v>
      </c>
      <c r="AA46" s="134" t="n">
        <v>36401</v>
      </c>
      <c r="AB46" s="135" t="s">
        <v>97</v>
      </c>
      <c r="AC46" s="136" t="n">
        <f aca="false">AC44-AC45</f>
        <v>570279</v>
      </c>
    </row>
    <row r="47" customFormat="false" ht="13.8" hidden="false" customHeight="false" outlineLevel="0" collapsed="false">
      <c r="B47" s="122"/>
      <c r="C47" s="122"/>
      <c r="D47" s="122"/>
      <c r="E47" s="122"/>
      <c r="F47" s="122"/>
      <c r="P47" s="137"/>
      <c r="S47" s="4"/>
      <c r="T47" s="132"/>
      <c r="V47" s="4"/>
      <c r="Y47" s="132"/>
      <c r="Z47" s="133" t="s">
        <v>71</v>
      </c>
      <c r="AA47" s="134" t="n">
        <v>21501</v>
      </c>
      <c r="AB47" s="2"/>
      <c r="AC47" s="138"/>
    </row>
    <row r="48" customFormat="false" ht="13.8" hidden="false" customHeight="false" outlineLevel="0" collapsed="false">
      <c r="B48" s="122"/>
      <c r="C48" s="122"/>
      <c r="D48" s="122"/>
      <c r="E48" s="122"/>
      <c r="F48" s="122"/>
      <c r="T48" s="132"/>
      <c r="V48" s="4"/>
      <c r="Y48" s="132"/>
      <c r="Z48" s="139" t="s">
        <v>98</v>
      </c>
      <c r="AA48" s="140" t="n">
        <f aca="false">SUM(AA46:AA47)</f>
        <v>57902</v>
      </c>
      <c r="AB48" s="135"/>
      <c r="AC48" s="141"/>
      <c r="AD48" s="4"/>
      <c r="AE48" s="5"/>
    </row>
    <row r="49" customFormat="false" ht="13.8" hidden="false" customHeight="false" outlineLevel="0" collapsed="false">
      <c r="B49" s="122"/>
      <c r="C49" s="122"/>
      <c r="D49" s="122"/>
      <c r="E49" s="122"/>
      <c r="F49" s="122"/>
      <c r="T49" s="142"/>
      <c r="V49" s="4"/>
      <c r="Y49" s="132"/>
      <c r="Z49" s="133"/>
      <c r="AA49" s="2"/>
      <c r="AB49" s="2"/>
      <c r="AC49" s="5"/>
      <c r="AD49" s="4"/>
      <c r="AE49" s="5"/>
    </row>
    <row r="50" customFormat="false" ht="13.8" hidden="false" customHeight="false" outlineLevel="0" collapsed="false">
      <c r="B50" s="122"/>
      <c r="C50" s="122"/>
      <c r="D50" s="122"/>
      <c r="E50" s="122"/>
      <c r="F50" s="122"/>
      <c r="T50" s="132"/>
      <c r="V50" s="4"/>
      <c r="X50" s="143"/>
      <c r="Y50" s="144"/>
      <c r="Z50" s="124"/>
      <c r="AA50" s="124"/>
      <c r="AB50" s="134"/>
      <c r="AC50" s="141"/>
      <c r="AD50" s="4"/>
      <c r="AE50" s="5"/>
    </row>
    <row r="51" s="143" customFormat="true" ht="13.8" hidden="false" customHeight="false" outlineLevel="0" collapsed="false">
      <c r="B51" s="122"/>
      <c r="C51" s="122"/>
      <c r="D51" s="122"/>
      <c r="E51" s="122"/>
      <c r="F51" s="122"/>
      <c r="N51" s="145"/>
      <c r="Q51" s="146"/>
      <c r="T51" s="145"/>
      <c r="V51" s="147"/>
      <c r="X51" s="1"/>
      <c r="Y51" s="1"/>
      <c r="Z51" s="134"/>
      <c r="AA51" s="148"/>
      <c r="AB51" s="148"/>
      <c r="AC51" s="149"/>
      <c r="AD51" s="150"/>
      <c r="AE51" s="151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13.8" hidden="false" customHeight="false" outlineLevel="0" collapsed="false">
      <c r="B52" s="122"/>
      <c r="C52" s="122"/>
      <c r="D52" s="122"/>
      <c r="E52" s="122"/>
      <c r="F52" s="122"/>
      <c r="N52" s="132"/>
      <c r="T52" s="132"/>
      <c r="V52" s="4"/>
      <c r="X52" s="122"/>
      <c r="Y52" s="122"/>
      <c r="Z52" s="122"/>
      <c r="AC52" s="4"/>
      <c r="AD52" s="4"/>
      <c r="AE52" s="5"/>
    </row>
    <row r="53" customFormat="false" ht="19.4" hidden="false" customHeight="true" outlineLevel="0" collapsed="false">
      <c r="N53" s="132"/>
      <c r="Z53" s="152"/>
      <c r="AA53" s="4"/>
      <c r="AB53" s="4"/>
      <c r="AC53" s="4"/>
      <c r="AD53" s="4"/>
      <c r="AE53" s="5"/>
    </row>
    <row r="54" customFormat="false" ht="15" hidden="false" customHeight="false" outlineLevel="0" collapsed="false">
      <c r="N54" s="132"/>
      <c r="Z54" s="153"/>
      <c r="AC54" s="4"/>
      <c r="AD54" s="4"/>
      <c r="AE54" s="5"/>
    </row>
    <row r="55" customFormat="false" ht="15" hidden="false" customHeight="false" outlineLevel="0" collapsed="false">
      <c r="N55" s="132"/>
      <c r="Z55" s="153"/>
      <c r="AC55" s="4"/>
      <c r="AD55" s="4"/>
      <c r="AE55" s="5"/>
    </row>
    <row r="56" customFormat="false" ht="13.8" hidden="false" customHeight="false" outlineLevel="0" collapsed="false">
      <c r="AA56" s="114"/>
      <c r="AC56" s="4"/>
      <c r="AD56" s="4"/>
      <c r="AE56" s="5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Y3:AA3"/>
  </mergeCells>
  <printOptions headings="false" gridLines="false" gridLinesSet="true" horizontalCentered="false" verticalCentered="false"/>
  <pageMargins left="0.0354166666666667" right="0.00347222222222222" top="0.26875" bottom="0.31875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AC28" activeCellId="0" sqref="AC28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54" width="4.73"/>
    <col collapsed="false" customWidth="true" hidden="false" outlineLevel="0" max="2" min="2" style="154" width="5.84"/>
    <col collapsed="false" customWidth="true" hidden="false" outlineLevel="0" max="3" min="3" style="154" width="35.15"/>
    <col collapsed="false" customWidth="true" hidden="false" outlineLevel="0" max="4" min="4" style="154" width="9.13"/>
    <col collapsed="false" customWidth="true" hidden="false" outlineLevel="0" max="5" min="5" style="154" width="12.5"/>
    <col collapsed="false" customWidth="true" hidden="false" outlineLevel="0" max="9" min="6" style="154" width="9.13"/>
    <col collapsed="false" customWidth="true" hidden="false" outlineLevel="0" max="10" min="10" style="154" width="10.33"/>
    <col collapsed="false" customWidth="true" hidden="false" outlineLevel="0" max="11" min="11" style="154" width="10.44"/>
    <col collapsed="false" customWidth="true" hidden="false" outlineLevel="0" max="13" min="12" style="154" width="9.13"/>
    <col collapsed="false" customWidth="true" hidden="false" outlineLevel="0" max="14" min="14" style="154" width="9.98"/>
    <col collapsed="false" customWidth="true" hidden="false" outlineLevel="0" max="15" min="15" style="154" width="9.13"/>
    <col collapsed="false" customWidth="true" hidden="false" outlineLevel="0" max="16" min="16" style="154" width="10.09"/>
    <col collapsed="false" customWidth="true" hidden="false" outlineLevel="0" max="17" min="17" style="154" width="10.58"/>
    <col collapsed="false" customWidth="true" hidden="false" outlineLevel="0" max="18" min="18" style="154" width="11.25"/>
    <col collapsed="false" customWidth="true" hidden="false" outlineLevel="0" max="19" min="19" style="154" width="9.13"/>
    <col collapsed="false" customWidth="true" hidden="false" outlineLevel="0" max="20" min="20" style="154" width="10.38"/>
    <col collapsed="false" customWidth="true" hidden="false" outlineLevel="0" max="21" min="21" style="154" width="9.13"/>
    <col collapsed="false" customWidth="true" hidden="false" outlineLevel="0" max="22" min="22" style="154" width="10.9"/>
    <col collapsed="false" customWidth="true" hidden="false" outlineLevel="0" max="23" min="23" style="154" width="9.13"/>
    <col collapsed="false" customWidth="true" hidden="false" outlineLevel="0" max="24" min="24" style="154" width="10.79"/>
    <col collapsed="false" customWidth="true" hidden="false" outlineLevel="0" max="28" min="25" style="154" width="9.13"/>
    <col collapsed="false" customWidth="true" hidden="false" outlineLevel="0" max="29" min="29" style="154" width="10.06"/>
    <col collapsed="false" customWidth="true" hidden="false" outlineLevel="0" max="30" min="30" style="154" width="19.61"/>
    <col collapsed="false" customWidth="true" hidden="false" outlineLevel="0" max="31" min="31" style="154" width="14.15"/>
    <col collapsed="false" customWidth="true" hidden="false" outlineLevel="0" max="32" min="32" style="154" width="8.55"/>
    <col collapsed="false" customWidth="false" hidden="false" outlineLevel="0" max="1019" min="33" style="154" width="11.71"/>
    <col collapsed="false" customWidth="true" hidden="false" outlineLevel="0" max="1024" min="1020" style="124" width="11.52"/>
  </cols>
  <sheetData>
    <row r="1" customFormat="false" ht="13.8" hidden="false" customHeight="false" outlineLevel="0" collapsed="false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55"/>
      <c r="P1" s="124"/>
      <c r="Q1" s="156" t="n">
        <f aca="false">+Salary!Q1</f>
        <v>31</v>
      </c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K1" s="124"/>
    </row>
    <row r="2" customFormat="false" ht="13.8" hidden="false" customHeight="false" outlineLevel="0" collapsed="false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57" t="str">
        <f aca="false">+Salary!Q2</f>
        <v>Salary for the month of  December 2025</v>
      </c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24"/>
      <c r="AE2" s="124"/>
      <c r="AF2" s="124"/>
      <c r="AG2" s="124"/>
      <c r="AH2" s="124"/>
      <c r="AI2" s="124"/>
      <c r="AK2" s="124"/>
    </row>
    <row r="3" customFormat="false" ht="13.8" hidden="false" customHeight="false" outlineLevel="0" collapsed="false">
      <c r="A3" s="158"/>
      <c r="B3" s="159"/>
      <c r="C3" s="160"/>
      <c r="D3" s="159"/>
      <c r="E3" s="159"/>
      <c r="F3" s="161" t="s">
        <v>1</v>
      </c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2" t="s">
        <v>2</v>
      </c>
      <c r="R3" s="162"/>
      <c r="S3" s="162"/>
      <c r="T3" s="162"/>
      <c r="U3" s="162"/>
      <c r="V3" s="162"/>
      <c r="W3" s="162"/>
      <c r="X3" s="162"/>
      <c r="Y3" s="163" t="s">
        <v>99</v>
      </c>
      <c r="Z3" s="163"/>
      <c r="AA3" s="163"/>
      <c r="AB3" s="163"/>
      <c r="AC3" s="164"/>
      <c r="AD3" s="124"/>
      <c r="AE3" s="124"/>
      <c r="AF3" s="124"/>
      <c r="AG3" s="124"/>
      <c r="AH3" s="124"/>
      <c r="AI3" s="124"/>
      <c r="AK3" s="124"/>
    </row>
    <row r="4" customFormat="false" ht="24.35" hidden="false" customHeight="true" outlineLevel="0" collapsed="false">
      <c r="A4" s="165"/>
      <c r="B4" s="166" t="s">
        <v>5</v>
      </c>
      <c r="C4" s="166" t="s">
        <v>6</v>
      </c>
      <c r="D4" s="166" t="s">
        <v>7</v>
      </c>
      <c r="E4" s="166" t="s">
        <v>8</v>
      </c>
      <c r="F4" s="166" t="s">
        <v>100</v>
      </c>
      <c r="G4" s="166" t="s">
        <v>101</v>
      </c>
      <c r="H4" s="166" t="s">
        <v>102</v>
      </c>
      <c r="I4" s="166" t="s">
        <v>103</v>
      </c>
      <c r="J4" s="166" t="s">
        <v>104</v>
      </c>
      <c r="K4" s="166" t="s">
        <v>105</v>
      </c>
      <c r="L4" s="166"/>
      <c r="M4" s="166"/>
      <c r="N4" s="166" t="s">
        <v>98</v>
      </c>
      <c r="O4" s="167" t="s">
        <v>106</v>
      </c>
      <c r="P4" s="166" t="s">
        <v>107</v>
      </c>
      <c r="Q4" s="168" t="s">
        <v>20</v>
      </c>
      <c r="R4" s="169" t="str">
        <f aca="false">+F4</f>
        <v>Health Care</v>
      </c>
      <c r="S4" s="169" t="str">
        <f aca="false">G4</f>
        <v>Travelling</v>
      </c>
      <c r="T4" s="169" t="str">
        <f aca="false">H4</f>
        <v>Mobile</v>
      </c>
      <c r="U4" s="170" t="str">
        <f aca="false">I4</f>
        <v>Internet</v>
      </c>
      <c r="V4" s="170" t="str">
        <f aca="false">J4</f>
        <v>Books &amp; Periodicals</v>
      </c>
      <c r="W4" s="171" t="s">
        <v>22</v>
      </c>
      <c r="X4" s="171" t="s">
        <v>98</v>
      </c>
      <c r="Y4" s="171"/>
      <c r="Z4" s="171"/>
      <c r="AA4" s="171"/>
      <c r="AB4" s="172"/>
      <c r="AC4" s="171" t="s">
        <v>108</v>
      </c>
      <c r="AD4" s="173"/>
      <c r="AE4" s="124"/>
      <c r="AF4" s="124"/>
      <c r="AG4" s="124"/>
      <c r="AH4" s="124"/>
      <c r="AI4" s="124"/>
      <c r="AK4" s="124"/>
    </row>
    <row r="5" customFormat="false" ht="13.8" hidden="false" customHeight="false" outlineLevel="0" collapsed="false">
      <c r="A5" s="124"/>
      <c r="B5" s="174"/>
      <c r="C5" s="175" t="s">
        <v>31</v>
      </c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7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24"/>
      <c r="AG5" s="124"/>
      <c r="AH5" s="124"/>
      <c r="AI5" s="124"/>
      <c r="AK5" s="124"/>
    </row>
    <row r="6" customFormat="false" ht="13.8" hidden="false" customHeight="false" outlineLevel="0" collapsed="false">
      <c r="A6" s="178"/>
      <c r="B6" s="179" t="n">
        <v>1</v>
      </c>
      <c r="C6" s="180" t="s">
        <v>32</v>
      </c>
      <c r="D6" s="181" t="s">
        <v>33</v>
      </c>
      <c r="E6" s="182" t="s">
        <v>31</v>
      </c>
      <c r="F6" s="183" t="n">
        <f aca="false">+K6*30%</f>
        <v>450</v>
      </c>
      <c r="G6" s="183" t="n">
        <f aca="false">+K6*20%</f>
        <v>300</v>
      </c>
      <c r="H6" s="183" t="n">
        <f aca="false">+K6*20%</f>
        <v>300</v>
      </c>
      <c r="I6" s="183" t="n">
        <f aca="false">+K6*20%</f>
        <v>300</v>
      </c>
      <c r="J6" s="183" t="n">
        <f aca="false">+K6*10%</f>
        <v>150</v>
      </c>
      <c r="K6" s="183" t="n">
        <v>1500</v>
      </c>
      <c r="L6" s="184"/>
      <c r="M6" s="185"/>
      <c r="N6" s="186" t="n">
        <f aca="false">+K6+L6+M6</f>
        <v>1500</v>
      </c>
      <c r="O6" s="186"/>
      <c r="P6" s="186" t="n">
        <f aca="false">+O6+N6</f>
        <v>1500</v>
      </c>
      <c r="Q6" s="187" t="n">
        <f aca="false">Salary!Q6</f>
        <v>31</v>
      </c>
      <c r="R6" s="188" t="n">
        <f aca="false">ROUND(F6/$Q$1*Q6,0)</f>
        <v>450</v>
      </c>
      <c r="S6" s="188" t="n">
        <f aca="false">ROUND(G6/$Q$1*Q6,0)</f>
        <v>300</v>
      </c>
      <c r="T6" s="188" t="n">
        <f aca="false">ROUND(H6/$Q$1*Q6,0)</f>
        <v>300</v>
      </c>
      <c r="U6" s="188" t="n">
        <f aca="false">ROUND(I6/$Q$1*Q6,0)</f>
        <v>300</v>
      </c>
      <c r="V6" s="188" t="n">
        <f aca="false">ROUND(J6/$Q$1*Q6,0)</f>
        <v>150</v>
      </c>
      <c r="W6" s="188"/>
      <c r="X6" s="188" t="n">
        <f aca="false">SUM(R6:V6)</f>
        <v>1500</v>
      </c>
      <c r="Y6" s="188" t="n">
        <f aca="false">MIN(1800,IF(L6&gt;0,ROUND((X6-S6)*0.12,0),0))</f>
        <v>0</v>
      </c>
      <c r="Z6" s="188" t="n">
        <f aca="false">+IF(M6&gt;0,ROUNDUP((X6)*0.0175,0),0)</f>
        <v>0</v>
      </c>
      <c r="AA6" s="189"/>
      <c r="AB6" s="188" t="n">
        <f aca="false">+SUM(Y6:AA6)</f>
        <v>0</v>
      </c>
      <c r="AC6" s="188" t="n">
        <f aca="false">+X6-AB6+W6</f>
        <v>1500</v>
      </c>
      <c r="AD6" s="190"/>
      <c r="AF6" s="191"/>
      <c r="AG6" s="124"/>
      <c r="AH6" s="124"/>
      <c r="AI6" s="192"/>
      <c r="AK6" s="124"/>
    </row>
    <row r="7" customFormat="false" ht="13.8" hidden="false" customHeight="false" outlineLevel="0" collapsed="false">
      <c r="A7" s="124"/>
      <c r="B7" s="179"/>
      <c r="C7" s="193"/>
      <c r="D7" s="174"/>
      <c r="E7" s="174" t="s">
        <v>39</v>
      </c>
      <c r="F7" s="194" t="n">
        <f aca="false">SUM(F6:F6)</f>
        <v>450</v>
      </c>
      <c r="G7" s="194" t="n">
        <f aca="false">SUM(G6:G6)</f>
        <v>300</v>
      </c>
      <c r="H7" s="194" t="n">
        <f aca="false">SUM(H6:H6)</f>
        <v>300</v>
      </c>
      <c r="I7" s="194" t="n">
        <f aca="false">SUM(I6:I6)</f>
        <v>300</v>
      </c>
      <c r="J7" s="194" t="n">
        <f aca="false">SUM(J6:J6)</f>
        <v>150</v>
      </c>
      <c r="K7" s="194" t="n">
        <f aca="false">SUM(K6:K6)</f>
        <v>1500</v>
      </c>
      <c r="L7" s="194"/>
      <c r="M7" s="194"/>
      <c r="N7" s="194" t="n">
        <f aca="false">SUM(N6:N6)</f>
        <v>1500</v>
      </c>
      <c r="O7" s="194" t="n">
        <f aca="false">SUM(O6:O6)</f>
        <v>0</v>
      </c>
      <c r="P7" s="194" t="n">
        <f aca="false">SUM(P6:P6)</f>
        <v>1500</v>
      </c>
      <c r="Q7" s="195"/>
      <c r="R7" s="194" t="n">
        <f aca="false">SUM(R6:R6)</f>
        <v>450</v>
      </c>
      <c r="S7" s="194" t="n">
        <f aca="false">SUM(S6:S6)</f>
        <v>300</v>
      </c>
      <c r="T7" s="194"/>
      <c r="U7" s="194" t="n">
        <f aca="false">SUM(U6:U6)</f>
        <v>300</v>
      </c>
      <c r="V7" s="194" t="n">
        <f aca="false">SUM(V6:V6)</f>
        <v>150</v>
      </c>
      <c r="W7" s="194" t="n">
        <f aca="false">SUM(W6:W6)</f>
        <v>0</v>
      </c>
      <c r="X7" s="194" t="n">
        <f aca="false">SUM(X6:X6)</f>
        <v>1500</v>
      </c>
      <c r="Y7" s="194" t="n">
        <f aca="false">SUM(Y6:Y6)</f>
        <v>0</v>
      </c>
      <c r="Z7" s="194" t="n">
        <f aca="false">SUM(Z6:Z6)</f>
        <v>0</v>
      </c>
      <c r="AA7" s="194" t="n">
        <f aca="false">SUM(AA6:AA6)</f>
        <v>0</v>
      </c>
      <c r="AB7" s="194" t="n">
        <f aca="false">SUM(AB6:AB6)</f>
        <v>0</v>
      </c>
      <c r="AC7" s="194" t="n">
        <f aca="false">SUM(AC6:AC6)</f>
        <v>1500</v>
      </c>
      <c r="AD7" s="196"/>
      <c r="AE7" s="197"/>
      <c r="AF7" s="124"/>
      <c r="AG7" s="124"/>
      <c r="AH7" s="124"/>
      <c r="AI7" s="124"/>
      <c r="AK7" s="124"/>
    </row>
    <row r="8" customFormat="false" ht="13.8" hidden="false" customHeight="false" outlineLevel="0" collapsed="false">
      <c r="A8" s="178"/>
      <c r="B8" s="179"/>
      <c r="C8" s="198" t="s">
        <v>109</v>
      </c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200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24"/>
      <c r="AF8" s="124"/>
      <c r="AG8" s="124"/>
      <c r="AH8" s="124"/>
      <c r="AI8" s="124"/>
      <c r="AK8" s="124"/>
    </row>
    <row r="9" customFormat="false" ht="20.15" hidden="false" customHeight="true" outlineLevel="0" collapsed="false">
      <c r="A9" s="178"/>
      <c r="B9" s="179" t="n">
        <v>1</v>
      </c>
      <c r="C9" s="201" t="str">
        <f aca="false">Salary!C11</f>
        <v>Asan Kumar</v>
      </c>
      <c r="D9" s="202" t="str">
        <f aca="false">Salary!D11</f>
        <v>13.04.2012</v>
      </c>
      <c r="E9" s="179" t="s">
        <v>109</v>
      </c>
      <c r="F9" s="183" t="n">
        <f aca="false">+K9*30%</f>
        <v>1950</v>
      </c>
      <c r="G9" s="183" t="n">
        <f aca="false">+K9*20%</f>
        <v>1300</v>
      </c>
      <c r="H9" s="183" t="n">
        <f aca="false">+K9*20%</f>
        <v>1300</v>
      </c>
      <c r="I9" s="183" t="n">
        <f aca="false">+K9*20%</f>
        <v>1300</v>
      </c>
      <c r="J9" s="183" t="n">
        <f aca="false">+K9*10%</f>
        <v>650</v>
      </c>
      <c r="K9" s="183" t="n">
        <v>6500</v>
      </c>
      <c r="L9" s="184"/>
      <c r="M9" s="185"/>
      <c r="N9" s="186" t="n">
        <f aca="false">+K9+L9+M9</f>
        <v>6500</v>
      </c>
      <c r="O9" s="186"/>
      <c r="P9" s="186" t="n">
        <f aca="false">+O9+N9</f>
        <v>6500</v>
      </c>
      <c r="Q9" s="187" t="n">
        <f aca="false">Salary!Q11</f>
        <v>31</v>
      </c>
      <c r="R9" s="188" t="n">
        <f aca="false">ROUND(F9/$Q$1*Q9,0)</f>
        <v>1950</v>
      </c>
      <c r="S9" s="188" t="n">
        <f aca="false">ROUND(G9/$Q$1*Q9,0)</f>
        <v>1300</v>
      </c>
      <c r="T9" s="188" t="n">
        <f aca="false">ROUND(H9/$Q$1*Q9,0)</f>
        <v>1300</v>
      </c>
      <c r="U9" s="188" t="n">
        <f aca="false">ROUND(I9/$Q$1*Q9,0)</f>
        <v>1300</v>
      </c>
      <c r="V9" s="188" t="n">
        <f aca="false">ROUND(J9/$Q$1*Q9,0)</f>
        <v>650</v>
      </c>
      <c r="W9" s="188"/>
      <c r="X9" s="188" t="n">
        <f aca="false">SUM(R9:V9)</f>
        <v>6500</v>
      </c>
      <c r="Y9" s="188"/>
      <c r="Z9" s="188"/>
      <c r="AA9" s="188"/>
      <c r="AB9" s="188" t="n">
        <f aca="false">+SUM(Y9:AA9)</f>
        <v>0</v>
      </c>
      <c r="AC9" s="188" t="n">
        <f aca="false">+X9-AB9+W9</f>
        <v>6500</v>
      </c>
      <c r="AD9" s="182"/>
      <c r="AG9" s="124"/>
      <c r="AK9" s="124"/>
    </row>
    <row r="10" customFormat="false" ht="13.8" hidden="false" customHeight="false" outlineLevel="0" collapsed="false">
      <c r="A10" s="178"/>
      <c r="B10" s="179" t="n">
        <v>2</v>
      </c>
      <c r="C10" s="201" t="str">
        <f aca="false">Salary!C12</f>
        <v>Ashwani Kumar</v>
      </c>
      <c r="D10" s="203" t="s">
        <v>45</v>
      </c>
      <c r="E10" s="203" t="s">
        <v>43</v>
      </c>
      <c r="F10" s="183" t="n">
        <f aca="false">+K10*30%</f>
        <v>900</v>
      </c>
      <c r="G10" s="183" t="n">
        <f aca="false">+K10*20%</f>
        <v>600</v>
      </c>
      <c r="H10" s="183" t="n">
        <f aca="false">+K10*20%</f>
        <v>600</v>
      </c>
      <c r="I10" s="183" t="n">
        <f aca="false">+K10*20%</f>
        <v>600</v>
      </c>
      <c r="J10" s="183" t="n">
        <f aca="false">+K10*10%</f>
        <v>300</v>
      </c>
      <c r="K10" s="183" t="n">
        <v>3000</v>
      </c>
      <c r="L10" s="184"/>
      <c r="M10" s="185"/>
      <c r="N10" s="186" t="n">
        <f aca="false">+K10+L10+M10</f>
        <v>3000</v>
      </c>
      <c r="O10" s="186"/>
      <c r="P10" s="186" t="n">
        <f aca="false">+O10+N10</f>
        <v>3000</v>
      </c>
      <c r="Q10" s="187" t="n">
        <f aca="false">Salary!Q12</f>
        <v>31</v>
      </c>
      <c r="R10" s="188" t="n">
        <f aca="false">ROUND(F10/$Q$1*Q10,0)</f>
        <v>900</v>
      </c>
      <c r="S10" s="188" t="n">
        <f aca="false">ROUND(G10/$Q$1*Q10,0)</f>
        <v>600</v>
      </c>
      <c r="T10" s="188" t="n">
        <f aca="false">ROUND(H10/$Q$1*Q10,0)</f>
        <v>600</v>
      </c>
      <c r="U10" s="188" t="n">
        <f aca="false">ROUND(I10/$Q$1*Q10,0)</f>
        <v>600</v>
      </c>
      <c r="V10" s="188" t="n">
        <f aca="false">ROUND(J10/$Q$1*Q10,0)</f>
        <v>300</v>
      </c>
      <c r="W10" s="188"/>
      <c r="X10" s="188" t="n">
        <f aca="false">SUM(R10:V10)</f>
        <v>3000</v>
      </c>
      <c r="Y10" s="188"/>
      <c r="Z10" s="188"/>
      <c r="AA10" s="188"/>
      <c r="AB10" s="188" t="n">
        <f aca="false">+SUM(Y10:AA10)</f>
        <v>0</v>
      </c>
      <c r="AC10" s="188" t="n">
        <f aca="false">+X10-AB10+W10</f>
        <v>3000</v>
      </c>
      <c r="AD10" s="186"/>
      <c r="AG10" s="124"/>
    </row>
    <row r="11" customFormat="false" ht="16.65" hidden="false" customHeight="true" outlineLevel="0" collapsed="false">
      <c r="A11" s="178"/>
      <c r="B11" s="179" t="n">
        <v>3</v>
      </c>
      <c r="C11" s="201" t="str">
        <f aca="false">Salary!C13</f>
        <v>Quaisher Hossain</v>
      </c>
      <c r="D11" s="204" t="s">
        <v>47</v>
      </c>
      <c r="E11" s="204" t="s">
        <v>43</v>
      </c>
      <c r="F11" s="183" t="n">
        <f aca="false">+K11*30%</f>
        <v>1800</v>
      </c>
      <c r="G11" s="183" t="n">
        <f aca="false">+K11*20%</f>
        <v>1200</v>
      </c>
      <c r="H11" s="183" t="n">
        <f aca="false">+K11*20%</f>
        <v>1200</v>
      </c>
      <c r="I11" s="183" t="n">
        <f aca="false">+K11*20%</f>
        <v>1200</v>
      </c>
      <c r="J11" s="183" t="n">
        <f aca="false">+K11*10%</f>
        <v>600</v>
      </c>
      <c r="K11" s="183" t="n">
        <v>6000</v>
      </c>
      <c r="L11" s="205"/>
      <c r="M11" s="185"/>
      <c r="N11" s="186" t="n">
        <f aca="false">+K11+L11+M11</f>
        <v>6000</v>
      </c>
      <c r="O11" s="186"/>
      <c r="P11" s="186" t="n">
        <f aca="false">+O11+N11</f>
        <v>6000</v>
      </c>
      <c r="Q11" s="187" t="n">
        <f aca="false">Salary!Q13</f>
        <v>31</v>
      </c>
      <c r="R11" s="188" t="n">
        <f aca="false">ROUND(F11/$Q$1*Q11,0)</f>
        <v>1800</v>
      </c>
      <c r="S11" s="188" t="n">
        <f aca="false">ROUND(G11/$Q$1*Q11,0)</f>
        <v>1200</v>
      </c>
      <c r="T11" s="188" t="n">
        <f aca="false">ROUND(H11/$Q$1*Q11,0)</f>
        <v>1200</v>
      </c>
      <c r="U11" s="188" t="n">
        <f aca="false">ROUND(I11/$Q$1*Q11,0)</f>
        <v>1200</v>
      </c>
      <c r="V11" s="188" t="n">
        <f aca="false">ROUND(J11/$Q$1*Q11,0)</f>
        <v>600</v>
      </c>
      <c r="W11" s="188"/>
      <c r="X11" s="188" t="n">
        <f aca="false">SUM(R11:V11)</f>
        <v>6000</v>
      </c>
      <c r="Y11" s="188"/>
      <c r="Z11" s="188"/>
      <c r="AA11" s="188"/>
      <c r="AB11" s="188" t="n">
        <f aca="false">+SUM(Y11:AA11)</f>
        <v>0</v>
      </c>
      <c r="AC11" s="188" t="n">
        <f aca="false">+X11-AB11+W11</f>
        <v>6000</v>
      </c>
      <c r="AD11" s="206"/>
      <c r="AG11" s="124"/>
    </row>
    <row r="12" customFormat="false" ht="13.8" hidden="false" customHeight="false" outlineLevel="0" collapsed="false">
      <c r="A12" s="207"/>
      <c r="B12" s="179" t="n">
        <v>4</v>
      </c>
      <c r="C12" s="201" t="str">
        <f aca="false">Salary!C14</f>
        <v>Gagan Kumar</v>
      </c>
      <c r="D12" s="179" t="s">
        <v>49</v>
      </c>
      <c r="E12" s="179" t="s">
        <v>43</v>
      </c>
      <c r="F12" s="183" t="n">
        <f aca="false">+K12*30%</f>
        <v>1500</v>
      </c>
      <c r="G12" s="183" t="n">
        <f aca="false">+K12*20%</f>
        <v>1000</v>
      </c>
      <c r="H12" s="183" t="n">
        <f aca="false">+K12*20%</f>
        <v>1000</v>
      </c>
      <c r="I12" s="183" t="n">
        <f aca="false">+K12*20%</f>
        <v>1000</v>
      </c>
      <c r="J12" s="183" t="n">
        <f aca="false">+K12*10%</f>
        <v>500</v>
      </c>
      <c r="K12" s="183" t="n">
        <v>5000</v>
      </c>
      <c r="L12" s="184"/>
      <c r="M12" s="185"/>
      <c r="N12" s="186" t="n">
        <f aca="false">+K12+L12+M12</f>
        <v>5000</v>
      </c>
      <c r="O12" s="186"/>
      <c r="P12" s="186" t="n">
        <f aca="false">+O12+N12</f>
        <v>5000</v>
      </c>
      <c r="Q12" s="187" t="n">
        <f aca="false">Salary!Q14</f>
        <v>31</v>
      </c>
      <c r="R12" s="188" t="n">
        <f aca="false">ROUND(F12/$Q$1*Q12,0)</f>
        <v>1500</v>
      </c>
      <c r="S12" s="188" t="n">
        <f aca="false">ROUND(G12/$Q$1*Q12,0)</f>
        <v>1000</v>
      </c>
      <c r="T12" s="188" t="n">
        <f aca="false">ROUND(H12/$Q$1*Q12,0)</f>
        <v>1000</v>
      </c>
      <c r="U12" s="188" t="n">
        <f aca="false">ROUND(I12/$Q$1*Q12,0)</f>
        <v>1000</v>
      </c>
      <c r="V12" s="188" t="n">
        <f aca="false">ROUND(J12/$Q$1*Q12,0)</f>
        <v>500</v>
      </c>
      <c r="W12" s="188"/>
      <c r="X12" s="188" t="n">
        <f aca="false">SUM(R12:V12)</f>
        <v>5000</v>
      </c>
      <c r="Y12" s="188"/>
      <c r="Z12" s="188"/>
      <c r="AA12" s="188"/>
      <c r="AB12" s="188" t="n">
        <f aca="false">+SUM(Y12:AA12)</f>
        <v>0</v>
      </c>
      <c r="AC12" s="188" t="n">
        <f aca="false">+X12-AB12+W12</f>
        <v>5000</v>
      </c>
      <c r="AD12" s="208"/>
      <c r="AG12" s="124"/>
    </row>
    <row r="13" customFormat="false" ht="15.8" hidden="false" customHeight="true" outlineLevel="0" collapsed="false">
      <c r="A13" s="207"/>
      <c r="B13" s="179" t="n">
        <v>5</v>
      </c>
      <c r="C13" s="201" t="str">
        <f aca="false">Salary!C15</f>
        <v>Amit Kumar Rai</v>
      </c>
      <c r="D13" s="179" t="s">
        <v>51</v>
      </c>
      <c r="E13" s="179" t="s">
        <v>43</v>
      </c>
      <c r="F13" s="183" t="n">
        <f aca="false">+K13*30%</f>
        <v>1950</v>
      </c>
      <c r="G13" s="183" t="n">
        <f aca="false">+K13*20%</f>
        <v>1300</v>
      </c>
      <c r="H13" s="183" t="n">
        <f aca="false">+K13*20%</f>
        <v>1300</v>
      </c>
      <c r="I13" s="183" t="n">
        <f aca="false">+K13*20%</f>
        <v>1300</v>
      </c>
      <c r="J13" s="183" t="n">
        <f aca="false">+K13*10%</f>
        <v>650</v>
      </c>
      <c r="K13" s="183" t="n">
        <v>6500</v>
      </c>
      <c r="L13" s="184"/>
      <c r="M13" s="185"/>
      <c r="N13" s="186" t="n">
        <f aca="false">+K13+L13+M13</f>
        <v>6500</v>
      </c>
      <c r="O13" s="186"/>
      <c r="P13" s="186" t="n">
        <f aca="false">+O13+N13</f>
        <v>6500</v>
      </c>
      <c r="Q13" s="187" t="n">
        <f aca="false">Salary!Q15</f>
        <v>31</v>
      </c>
      <c r="R13" s="188" t="n">
        <f aca="false">ROUND(F13/$Q$1*Q13,0)</f>
        <v>1950</v>
      </c>
      <c r="S13" s="188" t="n">
        <f aca="false">ROUND(G13/$Q$1*Q13,0)</f>
        <v>1300</v>
      </c>
      <c r="T13" s="188" t="n">
        <f aca="false">ROUND(H13/$Q$1*Q13,0)</f>
        <v>1300</v>
      </c>
      <c r="U13" s="188" t="n">
        <f aca="false">ROUND(I13/$Q$1*Q13,0)</f>
        <v>1300</v>
      </c>
      <c r="V13" s="188" t="n">
        <f aca="false">ROUND(J13/$Q$1*Q13,0)</f>
        <v>650</v>
      </c>
      <c r="W13" s="188"/>
      <c r="X13" s="188" t="n">
        <f aca="false">SUM(R13:V13)</f>
        <v>6500</v>
      </c>
      <c r="Y13" s="188"/>
      <c r="Z13" s="188"/>
      <c r="AA13" s="188"/>
      <c r="AB13" s="188" t="n">
        <f aca="false">+SUM(Y13:AA13)</f>
        <v>0</v>
      </c>
      <c r="AC13" s="188" t="n">
        <f aca="false">+X13-AB13+W13</f>
        <v>6500</v>
      </c>
      <c r="AD13" s="209" t="s">
        <v>110</v>
      </c>
      <c r="AE13" s="209"/>
      <c r="AG13" s="124"/>
    </row>
    <row r="14" customFormat="false" ht="13.8" hidden="false" customHeight="false" outlineLevel="0" collapsed="false">
      <c r="A14" s="207"/>
      <c r="B14" s="179" t="n">
        <v>6</v>
      </c>
      <c r="C14" s="201" t="str">
        <f aca="false">Salary!C16</f>
        <v>Aarti Sharma</v>
      </c>
      <c r="D14" s="179" t="s">
        <v>54</v>
      </c>
      <c r="E14" s="179" t="s">
        <v>43</v>
      </c>
      <c r="F14" s="183" t="n">
        <f aca="false">+K14*30%</f>
        <v>900</v>
      </c>
      <c r="G14" s="183" t="n">
        <f aca="false">+K14*20%</f>
        <v>600</v>
      </c>
      <c r="H14" s="183" t="n">
        <f aca="false">+K14*20%</f>
        <v>600</v>
      </c>
      <c r="I14" s="183" t="n">
        <f aca="false">+K14*20%</f>
        <v>600</v>
      </c>
      <c r="J14" s="183" t="n">
        <f aca="false">+K14*10%</f>
        <v>300</v>
      </c>
      <c r="K14" s="183" t="n">
        <v>3000</v>
      </c>
      <c r="L14" s="184"/>
      <c r="M14" s="185"/>
      <c r="N14" s="186" t="n">
        <f aca="false">+K14+L14+M14</f>
        <v>3000</v>
      </c>
      <c r="O14" s="186"/>
      <c r="P14" s="186" t="n">
        <f aca="false">+O14+N14</f>
        <v>3000</v>
      </c>
      <c r="Q14" s="187" t="n">
        <f aca="false">Salary!Q16</f>
        <v>30</v>
      </c>
      <c r="R14" s="188" t="n">
        <f aca="false">ROUND(F14/$Q$1*Q14,0)</f>
        <v>871</v>
      </c>
      <c r="S14" s="188" t="n">
        <f aca="false">ROUND(G14/$Q$1*Q14,0)</f>
        <v>581</v>
      </c>
      <c r="T14" s="188" t="n">
        <f aca="false">ROUND(H14/$Q$1*Q14,0)</f>
        <v>581</v>
      </c>
      <c r="U14" s="188" t="n">
        <f aca="false">ROUND(I14/$Q$1*Q14,0)</f>
        <v>581</v>
      </c>
      <c r="V14" s="188" t="n">
        <f aca="false">ROUND(J14/$Q$1*Q14,0)</f>
        <v>290</v>
      </c>
      <c r="W14" s="188"/>
      <c r="X14" s="188" t="n">
        <f aca="false">SUM(R14:V14)</f>
        <v>2904</v>
      </c>
      <c r="Y14" s="188"/>
      <c r="Z14" s="188"/>
      <c r="AA14" s="188"/>
      <c r="AB14" s="188" t="n">
        <f aca="false">+SUM(Y14:AA14)</f>
        <v>0</v>
      </c>
      <c r="AC14" s="188" t="n">
        <f aca="false">+X14-AB14+W14</f>
        <v>2904</v>
      </c>
      <c r="AD14" s="209"/>
      <c r="AE14" s="124"/>
      <c r="AG14" s="124"/>
    </row>
    <row r="15" customFormat="false" ht="18.4" hidden="false" customHeight="true" outlineLevel="0" collapsed="false">
      <c r="A15" s="207"/>
      <c r="B15" s="179" t="n">
        <v>7</v>
      </c>
      <c r="C15" s="201" t="str">
        <f aca="false">Salary!C17</f>
        <v>Srishti Singh</v>
      </c>
      <c r="D15" s="179" t="s">
        <v>56</v>
      </c>
      <c r="E15" s="179" t="s">
        <v>43</v>
      </c>
      <c r="F15" s="183" t="n">
        <f aca="false">+K15*30%</f>
        <v>2100</v>
      </c>
      <c r="G15" s="183" t="n">
        <f aca="false">+K15*20%</f>
        <v>1400</v>
      </c>
      <c r="H15" s="183" t="n">
        <f aca="false">+K15*20%</f>
        <v>1400</v>
      </c>
      <c r="I15" s="183" t="n">
        <f aca="false">+K15*20%</f>
        <v>1400</v>
      </c>
      <c r="J15" s="183" t="n">
        <f aca="false">+K15*10%</f>
        <v>700</v>
      </c>
      <c r="K15" s="183" t="n">
        <v>7000</v>
      </c>
      <c r="L15" s="184"/>
      <c r="M15" s="185"/>
      <c r="N15" s="186" t="n">
        <f aca="false">+K15+L15+M15</f>
        <v>7000</v>
      </c>
      <c r="O15" s="186"/>
      <c r="P15" s="186" t="n">
        <f aca="false">+O15+N15</f>
        <v>7000</v>
      </c>
      <c r="Q15" s="187" t="n">
        <f aca="false">Salary!Q17</f>
        <v>12</v>
      </c>
      <c r="R15" s="188" t="n">
        <f aca="false">ROUND(F15/$Q$1*Q15,0)</f>
        <v>813</v>
      </c>
      <c r="S15" s="188" t="n">
        <f aca="false">ROUND(G15/$Q$1*Q15,0)</f>
        <v>542</v>
      </c>
      <c r="T15" s="188" t="n">
        <f aca="false">ROUND(H15/$Q$1*Q15,0)</f>
        <v>542</v>
      </c>
      <c r="U15" s="188" t="n">
        <f aca="false">ROUND(I15/$Q$1*Q15,0)</f>
        <v>542</v>
      </c>
      <c r="V15" s="188" t="n">
        <f aca="false">ROUND(J15/$Q$1*Q15,0)</f>
        <v>271</v>
      </c>
      <c r="W15" s="188"/>
      <c r="X15" s="188" t="n">
        <f aca="false">SUM(R15:V15)</f>
        <v>2710</v>
      </c>
      <c r="Y15" s="188"/>
      <c r="Z15" s="188"/>
      <c r="AA15" s="188"/>
      <c r="AB15" s="188" t="n">
        <f aca="false">+SUM(Y15:AA15)</f>
        <v>0</v>
      </c>
      <c r="AC15" s="188" t="n">
        <f aca="false">+X15-AB15+W15</f>
        <v>2710</v>
      </c>
      <c r="AD15" s="209"/>
      <c r="AE15" s="124"/>
      <c r="AG15" s="124"/>
    </row>
    <row r="16" customFormat="false" ht="18.4" hidden="false" customHeight="true" outlineLevel="0" collapsed="false">
      <c r="A16" s="207"/>
      <c r="B16" s="179" t="n">
        <v>8</v>
      </c>
      <c r="C16" s="201" t="str">
        <f aca="false">Salary!C18</f>
        <v>Akash Kumar Gupta</v>
      </c>
      <c r="D16" s="179" t="s">
        <v>58</v>
      </c>
      <c r="E16" s="179" t="s">
        <v>43</v>
      </c>
      <c r="F16" s="183" t="n">
        <f aca="false">+K16*30%</f>
        <v>1950</v>
      </c>
      <c r="G16" s="183" t="n">
        <f aca="false">+K16*20%</f>
        <v>1300</v>
      </c>
      <c r="H16" s="183" t="n">
        <f aca="false">+K16*20%</f>
        <v>1300</v>
      </c>
      <c r="I16" s="183" t="n">
        <f aca="false">+K16*20%</f>
        <v>1300</v>
      </c>
      <c r="J16" s="183" t="n">
        <f aca="false">+K16*10%</f>
        <v>650</v>
      </c>
      <c r="K16" s="183" t="n">
        <f aca="false">4000+2500</f>
        <v>6500</v>
      </c>
      <c r="L16" s="184"/>
      <c r="M16" s="185"/>
      <c r="N16" s="186" t="n">
        <f aca="false">+K16+L16+M16</f>
        <v>6500</v>
      </c>
      <c r="O16" s="186"/>
      <c r="P16" s="186" t="n">
        <f aca="false">+O16+N16</f>
        <v>6500</v>
      </c>
      <c r="Q16" s="187" t="n">
        <f aca="false">Salary!Q18</f>
        <v>31</v>
      </c>
      <c r="R16" s="188" t="n">
        <f aca="false">ROUND(F16/$Q$1*Q16,0)</f>
        <v>1950</v>
      </c>
      <c r="S16" s="188" t="n">
        <f aca="false">ROUND(G16/$Q$1*Q16,0)</f>
        <v>1300</v>
      </c>
      <c r="T16" s="188" t="n">
        <f aca="false">ROUND(H16/$Q$1*Q16,0)</f>
        <v>1300</v>
      </c>
      <c r="U16" s="188" t="n">
        <f aca="false">ROUND(I16/$Q$1*Q16,0)</f>
        <v>1300</v>
      </c>
      <c r="V16" s="188" t="n">
        <f aca="false">ROUND(J16/$Q$1*Q16,0)</f>
        <v>650</v>
      </c>
      <c r="W16" s="188"/>
      <c r="X16" s="188" t="n">
        <f aca="false">SUM(R16:V16)</f>
        <v>6500</v>
      </c>
      <c r="Y16" s="188"/>
      <c r="Z16" s="188"/>
      <c r="AA16" s="188"/>
      <c r="AB16" s="188" t="n">
        <f aca="false">+SUM(Y16:AA16)</f>
        <v>0</v>
      </c>
      <c r="AC16" s="188" t="n">
        <f aca="false">+X16-AB16+W16</f>
        <v>6500</v>
      </c>
      <c r="AD16" s="209"/>
      <c r="AE16" s="124"/>
      <c r="AG16" s="124"/>
    </row>
    <row r="17" customFormat="false" ht="18.4" hidden="false" customHeight="true" outlineLevel="0" collapsed="false">
      <c r="A17" s="207"/>
      <c r="B17" s="179" t="n">
        <v>9</v>
      </c>
      <c r="C17" s="201" t="str">
        <f aca="false">Salary!C19</f>
        <v>Chinku</v>
      </c>
      <c r="D17" s="179" t="s">
        <v>60</v>
      </c>
      <c r="E17" s="179" t="s">
        <v>43</v>
      </c>
      <c r="F17" s="183" t="n">
        <f aca="false">+K17*30%</f>
        <v>900</v>
      </c>
      <c r="G17" s="183" t="n">
        <f aca="false">+K17*20%</f>
        <v>600</v>
      </c>
      <c r="H17" s="183" t="n">
        <f aca="false">+K17*20%</f>
        <v>600</v>
      </c>
      <c r="I17" s="183" t="n">
        <f aca="false">+K17*20%</f>
        <v>600</v>
      </c>
      <c r="J17" s="183" t="n">
        <f aca="false">+K17*10%</f>
        <v>300</v>
      </c>
      <c r="K17" s="183" t="n">
        <v>3000</v>
      </c>
      <c r="L17" s="184"/>
      <c r="M17" s="185"/>
      <c r="N17" s="186" t="n">
        <f aca="false">+K17+L17+M17</f>
        <v>3000</v>
      </c>
      <c r="O17" s="186"/>
      <c r="P17" s="186" t="n">
        <f aca="false">+O17+N17</f>
        <v>3000</v>
      </c>
      <c r="Q17" s="187" t="n">
        <f aca="false">Salary!Q19</f>
        <v>31</v>
      </c>
      <c r="R17" s="188" t="n">
        <f aca="false">ROUND(F17/$Q$1*Q17,0)</f>
        <v>900</v>
      </c>
      <c r="S17" s="188" t="n">
        <f aca="false">ROUND(G17/$Q$1*Q17,0)</f>
        <v>600</v>
      </c>
      <c r="T17" s="188" t="n">
        <f aca="false">ROUND(H17/$Q$1*Q17,0)</f>
        <v>600</v>
      </c>
      <c r="U17" s="188" t="n">
        <f aca="false">ROUND(I17/$Q$1*Q17,0)</f>
        <v>600</v>
      </c>
      <c r="V17" s="188" t="n">
        <f aca="false">ROUND(J17/$Q$1*Q17,0)</f>
        <v>300</v>
      </c>
      <c r="W17" s="188"/>
      <c r="X17" s="188" t="n">
        <f aca="false">SUM(R17:V17)</f>
        <v>3000</v>
      </c>
      <c r="Y17" s="188"/>
      <c r="Z17" s="188"/>
      <c r="AA17" s="188"/>
      <c r="AB17" s="188" t="n">
        <f aca="false">+SUM(Y17:AA17)</f>
        <v>0</v>
      </c>
      <c r="AC17" s="188" t="n">
        <f aca="false">+X17-AB17+W17</f>
        <v>3000</v>
      </c>
      <c r="AD17" s="209"/>
      <c r="AE17" s="124"/>
      <c r="AG17" s="124"/>
    </row>
    <row r="18" customFormat="false" ht="18.4" hidden="false" customHeight="true" outlineLevel="0" collapsed="false">
      <c r="A18" s="207"/>
      <c r="B18" s="179" t="n">
        <v>10</v>
      </c>
      <c r="C18" s="201" t="str">
        <f aca="false">Salary!C20</f>
        <v>Manish Singh</v>
      </c>
      <c r="D18" s="179" t="s">
        <v>62</v>
      </c>
      <c r="E18" s="179" t="s">
        <v>43</v>
      </c>
      <c r="F18" s="183" t="n">
        <f aca="false">+K18*30%</f>
        <v>0</v>
      </c>
      <c r="G18" s="183" t="n">
        <f aca="false">+K18*20%</f>
        <v>0</v>
      </c>
      <c r="H18" s="183" t="n">
        <f aca="false">+K18*20%</f>
        <v>0</v>
      </c>
      <c r="I18" s="183" t="n">
        <f aca="false">+K18*20%</f>
        <v>0</v>
      </c>
      <c r="J18" s="183" t="n">
        <f aca="false">+K18*10%</f>
        <v>0</v>
      </c>
      <c r="K18" s="183"/>
      <c r="L18" s="184"/>
      <c r="M18" s="185"/>
      <c r="N18" s="186" t="n">
        <f aca="false">+K18+L18+M18</f>
        <v>0</v>
      </c>
      <c r="O18" s="186"/>
      <c r="P18" s="186" t="n">
        <f aca="false">+O18+N18</f>
        <v>0</v>
      </c>
      <c r="Q18" s="187" t="n">
        <f aca="false">Salary!Q20</f>
        <v>3</v>
      </c>
      <c r="R18" s="188" t="n">
        <f aca="false">ROUND(F18/$Q$1*Q18,0)</f>
        <v>0</v>
      </c>
      <c r="S18" s="188" t="n">
        <f aca="false">ROUND(G18/$Q$1*Q18,0)</f>
        <v>0</v>
      </c>
      <c r="T18" s="188" t="n">
        <f aca="false">ROUND(H18/$Q$1*Q18,0)</f>
        <v>0</v>
      </c>
      <c r="U18" s="188" t="n">
        <f aca="false">ROUND(I18/$Q$1*Q18,0)</f>
        <v>0</v>
      </c>
      <c r="V18" s="188" t="n">
        <f aca="false">ROUND(J18/$Q$1*Q18,0)</f>
        <v>0</v>
      </c>
      <c r="W18" s="188"/>
      <c r="X18" s="188" t="n">
        <f aca="false">SUM(R18:V18)</f>
        <v>0</v>
      </c>
      <c r="Y18" s="188"/>
      <c r="Z18" s="188"/>
      <c r="AA18" s="188"/>
      <c r="AB18" s="188" t="n">
        <f aca="false">+SUM(Y18:AA18)</f>
        <v>0</v>
      </c>
      <c r="AC18" s="188" t="n">
        <f aca="false">+X18-AB18+W18</f>
        <v>0</v>
      </c>
      <c r="AD18" s="209"/>
      <c r="AE18" s="124"/>
      <c r="AG18" s="124"/>
    </row>
    <row r="19" customFormat="false" ht="14" hidden="false" customHeight="true" outlineLevel="0" collapsed="false">
      <c r="A19" s="207"/>
      <c r="B19" s="179" t="n">
        <v>11</v>
      </c>
      <c r="C19" s="201" t="str">
        <f aca="false">Salary!C21</f>
        <v>Jaya Singh</v>
      </c>
      <c r="D19" s="179" t="s">
        <v>64</v>
      </c>
      <c r="E19" s="179" t="s">
        <v>43</v>
      </c>
      <c r="F19" s="183" t="n">
        <f aca="false">+K19*30%</f>
        <v>540</v>
      </c>
      <c r="G19" s="183" t="n">
        <f aca="false">+K19*20%</f>
        <v>360</v>
      </c>
      <c r="H19" s="183" t="n">
        <f aca="false">+K19*20%</f>
        <v>360</v>
      </c>
      <c r="I19" s="183" t="n">
        <f aca="false">+K19*20%</f>
        <v>360</v>
      </c>
      <c r="J19" s="183" t="n">
        <f aca="false">+K19*10%</f>
        <v>180</v>
      </c>
      <c r="K19" s="183" t="n">
        <v>1800</v>
      </c>
      <c r="L19" s="184"/>
      <c r="M19" s="185"/>
      <c r="N19" s="186" t="n">
        <f aca="false">+K19+L19+M19</f>
        <v>1800</v>
      </c>
      <c r="O19" s="186"/>
      <c r="P19" s="186" t="n">
        <f aca="false">+O19+N19</f>
        <v>1800</v>
      </c>
      <c r="Q19" s="187" t="n">
        <f aca="false">Salary!Q21</f>
        <v>31</v>
      </c>
      <c r="R19" s="188" t="n">
        <f aca="false">ROUND(F19/$Q$1*Q19,0)</f>
        <v>540</v>
      </c>
      <c r="S19" s="188" t="n">
        <f aca="false">ROUND(G19/$Q$1*Q19,0)</f>
        <v>360</v>
      </c>
      <c r="T19" s="188" t="n">
        <f aca="false">ROUND(H19/$Q$1*Q19,0)</f>
        <v>360</v>
      </c>
      <c r="U19" s="188" t="n">
        <f aca="false">ROUND(I19/$Q$1*Q19,0)</f>
        <v>360</v>
      </c>
      <c r="V19" s="188" t="n">
        <f aca="false">ROUND(J19/$Q$1*Q19,0)</f>
        <v>180</v>
      </c>
      <c r="W19" s="188"/>
      <c r="X19" s="188" t="n">
        <f aca="false">SUM(R19:V19)</f>
        <v>1800</v>
      </c>
      <c r="Y19" s="188"/>
      <c r="Z19" s="188"/>
      <c r="AA19" s="188"/>
      <c r="AB19" s="188" t="n">
        <f aca="false">+SUM(Y19:AA19)</f>
        <v>0</v>
      </c>
      <c r="AC19" s="188" t="n">
        <f aca="false">+X19-AB19+W19</f>
        <v>1800</v>
      </c>
      <c r="AD19" s="209"/>
      <c r="AE19" s="124"/>
      <c r="AG19" s="124"/>
    </row>
    <row r="20" customFormat="false" ht="14" hidden="false" customHeight="true" outlineLevel="0" collapsed="false">
      <c r="A20" s="207"/>
      <c r="B20" s="179" t="n">
        <v>12</v>
      </c>
      <c r="C20" s="201" t="str">
        <f aca="false">Salary!C22</f>
        <v>Mansi Srivastava</v>
      </c>
      <c r="D20" s="210" t="s">
        <v>66</v>
      </c>
      <c r="E20" s="179" t="s">
        <v>43</v>
      </c>
      <c r="F20" s="183" t="n">
        <f aca="false">+K20*30%</f>
        <v>900</v>
      </c>
      <c r="G20" s="183" t="n">
        <f aca="false">+K20*20%</f>
        <v>600</v>
      </c>
      <c r="H20" s="183" t="n">
        <f aca="false">+K20*20%</f>
        <v>600</v>
      </c>
      <c r="I20" s="183" t="n">
        <f aca="false">+K20*20%</f>
        <v>600</v>
      </c>
      <c r="J20" s="183" t="n">
        <f aca="false">+K20*10%</f>
        <v>300</v>
      </c>
      <c r="K20" s="183" t="n">
        <v>3000</v>
      </c>
      <c r="L20" s="184"/>
      <c r="M20" s="185"/>
      <c r="N20" s="186" t="n">
        <f aca="false">+K20+L20+M20</f>
        <v>3000</v>
      </c>
      <c r="O20" s="186"/>
      <c r="P20" s="186" t="n">
        <f aca="false">+O20+N20</f>
        <v>3000</v>
      </c>
      <c r="Q20" s="187" t="n">
        <f aca="false">Salary!Q22</f>
        <v>31</v>
      </c>
      <c r="R20" s="188" t="n">
        <f aca="false">ROUND(F20/$Q$1*Q20,0)</f>
        <v>900</v>
      </c>
      <c r="S20" s="188" t="n">
        <f aca="false">ROUND(G20/$Q$1*Q20,0)</f>
        <v>600</v>
      </c>
      <c r="T20" s="188" t="n">
        <f aca="false">ROUND(H20/$Q$1*Q20,0)</f>
        <v>600</v>
      </c>
      <c r="U20" s="188" t="n">
        <f aca="false">ROUND(I20/$Q$1*Q20,0)</f>
        <v>600</v>
      </c>
      <c r="V20" s="188" t="n">
        <f aca="false">ROUND(J20/$Q$1*Q20,0)</f>
        <v>300</v>
      </c>
      <c r="W20" s="188"/>
      <c r="X20" s="188" t="n">
        <f aca="false">SUM(R20:V20)</f>
        <v>3000</v>
      </c>
      <c r="Y20" s="188"/>
      <c r="Z20" s="188"/>
      <c r="AA20" s="188"/>
      <c r="AB20" s="188" t="n">
        <f aca="false">+SUM(Y20:AA20)</f>
        <v>0</v>
      </c>
      <c r="AC20" s="188" t="n">
        <f aca="false">+X20-AB20+W20</f>
        <v>3000</v>
      </c>
      <c r="AD20" s="209"/>
      <c r="AE20" s="124"/>
      <c r="AG20" s="124"/>
    </row>
    <row r="21" customFormat="false" ht="14" hidden="false" customHeight="true" outlineLevel="0" collapsed="false">
      <c r="A21" s="207"/>
      <c r="B21" s="179" t="n">
        <v>13</v>
      </c>
      <c r="C21" s="201" t="str">
        <f aca="false">Salary!C23</f>
        <v>Navinder Singh Bisht</v>
      </c>
      <c r="D21" s="210" t="s">
        <v>66</v>
      </c>
      <c r="E21" s="179" t="s">
        <v>43</v>
      </c>
      <c r="F21" s="183" t="n">
        <f aca="false">+K21*30%</f>
        <v>600</v>
      </c>
      <c r="G21" s="183" t="n">
        <f aca="false">+K21*20%</f>
        <v>400</v>
      </c>
      <c r="H21" s="183" t="n">
        <f aca="false">+K21*20%</f>
        <v>400</v>
      </c>
      <c r="I21" s="183" t="n">
        <f aca="false">+K21*20%</f>
        <v>400</v>
      </c>
      <c r="J21" s="183" t="n">
        <f aca="false">+K21*10%</f>
        <v>200</v>
      </c>
      <c r="K21" s="183" t="n">
        <v>2000</v>
      </c>
      <c r="L21" s="184"/>
      <c r="M21" s="185"/>
      <c r="N21" s="186" t="n">
        <f aca="false">+K21+L21+M21</f>
        <v>2000</v>
      </c>
      <c r="O21" s="186"/>
      <c r="P21" s="186" t="n">
        <f aca="false">+O21+N21</f>
        <v>2000</v>
      </c>
      <c r="Q21" s="187" t="n">
        <f aca="false">Salary!Q23</f>
        <v>31</v>
      </c>
      <c r="R21" s="188" t="n">
        <f aca="false">ROUND(F21/$Q$1*Q21,0)</f>
        <v>600</v>
      </c>
      <c r="S21" s="188" t="n">
        <f aca="false">ROUND(G21/$Q$1*Q21,0)</f>
        <v>400</v>
      </c>
      <c r="T21" s="188" t="n">
        <f aca="false">ROUND(H21/$Q$1*Q21,0)</f>
        <v>400</v>
      </c>
      <c r="U21" s="188" t="n">
        <f aca="false">ROUND(I21/$Q$1*Q21,0)</f>
        <v>400</v>
      </c>
      <c r="V21" s="188" t="n">
        <f aca="false">ROUND(J21/$Q$1*Q21,0)</f>
        <v>200</v>
      </c>
      <c r="W21" s="188"/>
      <c r="X21" s="188" t="n">
        <f aca="false">SUM(R21:V21)</f>
        <v>2000</v>
      </c>
      <c r="Y21" s="188"/>
      <c r="Z21" s="188"/>
      <c r="AA21" s="188"/>
      <c r="AB21" s="188" t="n">
        <f aca="false">+SUM(Y21:AA21)</f>
        <v>0</v>
      </c>
      <c r="AC21" s="188" t="n">
        <f aca="false">+X21-AB21+W21</f>
        <v>2000</v>
      </c>
      <c r="AD21" s="209"/>
      <c r="AE21" s="124"/>
      <c r="AG21" s="124"/>
    </row>
    <row r="22" customFormat="false" ht="14" hidden="false" customHeight="true" outlineLevel="0" collapsed="false">
      <c r="A22" s="207"/>
      <c r="B22" s="179" t="n">
        <v>14</v>
      </c>
      <c r="C22" s="201" t="str">
        <f aca="false">Salary!C24</f>
        <v>Vivek Verma</v>
      </c>
      <c r="D22" s="210" t="s">
        <v>66</v>
      </c>
      <c r="E22" s="179" t="s">
        <v>43</v>
      </c>
      <c r="F22" s="183" t="n">
        <f aca="false">+K22*30%</f>
        <v>1200</v>
      </c>
      <c r="G22" s="183" t="n">
        <f aca="false">+K22*20%</f>
        <v>800</v>
      </c>
      <c r="H22" s="183" t="n">
        <f aca="false">+K22*20%</f>
        <v>800</v>
      </c>
      <c r="I22" s="183" t="n">
        <f aca="false">+K22*20%</f>
        <v>800</v>
      </c>
      <c r="J22" s="183" t="n">
        <f aca="false">+K22*10%</f>
        <v>400</v>
      </c>
      <c r="K22" s="183" t="n">
        <v>4000</v>
      </c>
      <c r="L22" s="184"/>
      <c r="M22" s="185"/>
      <c r="N22" s="186" t="n">
        <f aca="false">+K22+L22+M22</f>
        <v>4000</v>
      </c>
      <c r="O22" s="186"/>
      <c r="P22" s="186" t="n">
        <f aca="false">+O22+N22</f>
        <v>4000</v>
      </c>
      <c r="Q22" s="187" t="n">
        <f aca="false">Salary!Q24</f>
        <v>25.5</v>
      </c>
      <c r="R22" s="188" t="n">
        <f aca="false">ROUND(F22/$Q$1*Q22,0)</f>
        <v>987</v>
      </c>
      <c r="S22" s="188" t="n">
        <f aca="false">ROUND(G22/$Q$1*Q22,0)</f>
        <v>658</v>
      </c>
      <c r="T22" s="188" t="n">
        <f aca="false">ROUND(H22/$Q$1*Q22,0)</f>
        <v>658</v>
      </c>
      <c r="U22" s="188" t="n">
        <f aca="false">ROUND(I22/$Q$1*Q22,0)</f>
        <v>658</v>
      </c>
      <c r="V22" s="188" t="n">
        <f aca="false">ROUND(J22/$Q$1*Q22,0)</f>
        <v>329</v>
      </c>
      <c r="W22" s="188"/>
      <c r="X22" s="188" t="n">
        <f aca="false">SUM(R22:V22)</f>
        <v>3290</v>
      </c>
      <c r="Y22" s="188"/>
      <c r="Z22" s="188"/>
      <c r="AA22" s="188"/>
      <c r="AB22" s="188" t="n">
        <f aca="false">+SUM(Y22:AA22)</f>
        <v>0</v>
      </c>
      <c r="AC22" s="188" t="n">
        <f aca="false">+X22-AB22+W22</f>
        <v>3290</v>
      </c>
      <c r="AD22" s="209"/>
      <c r="AE22" s="124"/>
      <c r="AG22" s="124"/>
    </row>
    <row r="23" customFormat="false" ht="14" hidden="false" customHeight="true" outlineLevel="0" collapsed="false">
      <c r="A23" s="207"/>
      <c r="B23" s="179" t="n">
        <v>15</v>
      </c>
      <c r="C23" s="201" t="str">
        <f aca="false">Salary!C25</f>
        <v>Rishabh Pandey</v>
      </c>
      <c r="D23" s="210" t="s">
        <v>70</v>
      </c>
      <c r="E23" s="179" t="s">
        <v>43</v>
      </c>
      <c r="F23" s="183" t="n">
        <f aca="false">+K23*30%</f>
        <v>1200</v>
      </c>
      <c r="G23" s="183" t="n">
        <f aca="false">+K23*20%</f>
        <v>800</v>
      </c>
      <c r="H23" s="183" t="n">
        <f aca="false">+K23*20%</f>
        <v>800</v>
      </c>
      <c r="I23" s="183" t="n">
        <f aca="false">+K23*20%</f>
        <v>800</v>
      </c>
      <c r="J23" s="183" t="n">
        <f aca="false">+K23*10%</f>
        <v>400</v>
      </c>
      <c r="K23" s="183" t="n">
        <v>4000</v>
      </c>
      <c r="L23" s="184"/>
      <c r="M23" s="185"/>
      <c r="N23" s="186" t="n">
        <f aca="false">+K23+L23+M23</f>
        <v>4000</v>
      </c>
      <c r="O23" s="186"/>
      <c r="P23" s="186" t="n">
        <f aca="false">+O23+N23</f>
        <v>4000</v>
      </c>
      <c r="Q23" s="187" t="n">
        <f aca="false">Salary!Q25</f>
        <v>31</v>
      </c>
      <c r="R23" s="188" t="n">
        <f aca="false">ROUND(F23/$Q$1*Q23,0)</f>
        <v>1200</v>
      </c>
      <c r="S23" s="188" t="n">
        <f aca="false">ROUND(G23/$Q$1*Q23,0)</f>
        <v>800</v>
      </c>
      <c r="T23" s="188" t="n">
        <f aca="false">ROUND(H23/$Q$1*Q23,0)</f>
        <v>800</v>
      </c>
      <c r="U23" s="188" t="n">
        <f aca="false">ROUND(I23/$Q$1*Q23,0)</f>
        <v>800</v>
      </c>
      <c r="V23" s="188" t="n">
        <f aca="false">ROUND(J23/$Q$1*Q23,0)</f>
        <v>400</v>
      </c>
      <c r="W23" s="188"/>
      <c r="X23" s="188" t="n">
        <f aca="false">SUM(R23:V23)</f>
        <v>4000</v>
      </c>
      <c r="Y23" s="188"/>
      <c r="Z23" s="188"/>
      <c r="AA23" s="188"/>
      <c r="AB23" s="188" t="n">
        <f aca="false">+SUM(Y23:AA23)</f>
        <v>0</v>
      </c>
      <c r="AC23" s="188" t="n">
        <f aca="false">+X23-AB23+W23</f>
        <v>4000</v>
      </c>
      <c r="AD23" s="209"/>
      <c r="AE23" s="124"/>
      <c r="AG23" s="124"/>
    </row>
    <row r="24" customFormat="false" ht="17.25" hidden="false" customHeight="true" outlineLevel="0" collapsed="false">
      <c r="A24" s="207"/>
      <c r="B24" s="179" t="n">
        <v>16</v>
      </c>
      <c r="C24" s="201" t="str">
        <f aca="false">Salary!C26</f>
        <v>Neetu Raghav</v>
      </c>
      <c r="D24" s="210" t="s">
        <v>70</v>
      </c>
      <c r="E24" s="179" t="s">
        <v>43</v>
      </c>
      <c r="F24" s="183" t="n">
        <f aca="false">+K24*30%</f>
        <v>1500</v>
      </c>
      <c r="G24" s="183" t="n">
        <f aca="false">+K24*20%</f>
        <v>1000</v>
      </c>
      <c r="H24" s="183" t="n">
        <f aca="false">+K24*20%</f>
        <v>1000</v>
      </c>
      <c r="I24" s="183" t="n">
        <f aca="false">+K24*20%</f>
        <v>1000</v>
      </c>
      <c r="J24" s="183" t="n">
        <f aca="false">+K24*10%</f>
        <v>500</v>
      </c>
      <c r="K24" s="183" t="n">
        <v>5000</v>
      </c>
      <c r="L24" s="184"/>
      <c r="M24" s="185"/>
      <c r="N24" s="186" t="n">
        <f aca="false">+K24+L24+M24</f>
        <v>5000</v>
      </c>
      <c r="O24" s="186"/>
      <c r="P24" s="186" t="n">
        <f aca="false">+O24+N24</f>
        <v>5000</v>
      </c>
      <c r="Q24" s="187" t="n">
        <f aca="false">Salary!Q26</f>
        <v>31</v>
      </c>
      <c r="R24" s="188" t="n">
        <f aca="false">ROUND(F24/$Q$1*Q24,0)</f>
        <v>1500</v>
      </c>
      <c r="S24" s="188" t="n">
        <f aca="false">ROUND(G24/$Q$1*Q24,0)</f>
        <v>1000</v>
      </c>
      <c r="T24" s="188" t="n">
        <f aca="false">ROUND(H24/$Q$1*Q24,0)</f>
        <v>1000</v>
      </c>
      <c r="U24" s="188" t="n">
        <f aca="false">ROUND(I24/$Q$1*Q24,0)</f>
        <v>1000</v>
      </c>
      <c r="V24" s="188" t="n">
        <f aca="false">ROUND(J24/$Q$1*Q24,0)</f>
        <v>500</v>
      </c>
      <c r="W24" s="188"/>
      <c r="X24" s="188" t="n">
        <f aca="false">SUM(R24:V24)</f>
        <v>5000</v>
      </c>
      <c r="Y24" s="188"/>
      <c r="Z24" s="188"/>
      <c r="AA24" s="188"/>
      <c r="AB24" s="188" t="n">
        <f aca="false">+SUM(Y24:AA24)</f>
        <v>0</v>
      </c>
      <c r="AC24" s="188" t="n">
        <f aca="false">+X24-AB24+W24</f>
        <v>5000</v>
      </c>
      <c r="AD24" s="211" t="s">
        <v>111</v>
      </c>
      <c r="AE24" s="124"/>
      <c r="AG24" s="124"/>
    </row>
    <row r="25" customFormat="false" ht="14" hidden="false" customHeight="true" outlineLevel="0" collapsed="false">
      <c r="A25" s="207"/>
      <c r="B25" s="179" t="n">
        <v>17</v>
      </c>
      <c r="C25" s="201" t="str">
        <f aca="false">Salary!C27</f>
        <v>Subham Gautam</v>
      </c>
      <c r="D25" s="212" t="s">
        <v>73</v>
      </c>
      <c r="E25" s="179" t="s">
        <v>43</v>
      </c>
      <c r="F25" s="183" t="n">
        <f aca="false">+K25*30%</f>
        <v>720</v>
      </c>
      <c r="G25" s="183" t="n">
        <f aca="false">+K25*20%</f>
        <v>480</v>
      </c>
      <c r="H25" s="183" t="n">
        <f aca="false">+K25*20%</f>
        <v>480</v>
      </c>
      <c r="I25" s="183" t="n">
        <f aca="false">+K25*20%</f>
        <v>480</v>
      </c>
      <c r="J25" s="183" t="n">
        <f aca="false">+K25*10%</f>
        <v>240</v>
      </c>
      <c r="K25" s="183" t="n">
        <v>2400</v>
      </c>
      <c r="L25" s="184"/>
      <c r="M25" s="185"/>
      <c r="N25" s="186" t="n">
        <f aca="false">+K25+L25+M25</f>
        <v>2400</v>
      </c>
      <c r="O25" s="186"/>
      <c r="P25" s="186" t="n">
        <f aca="false">+O25+N25</f>
        <v>2400</v>
      </c>
      <c r="Q25" s="187" t="n">
        <f aca="false">Salary!Q27</f>
        <v>21.5</v>
      </c>
      <c r="R25" s="188" t="n">
        <f aca="false">ROUND(F25/$Q$1*Q25,0)</f>
        <v>499</v>
      </c>
      <c r="S25" s="188" t="n">
        <f aca="false">ROUND(G25/$Q$1*Q25,0)</f>
        <v>333</v>
      </c>
      <c r="T25" s="188" t="n">
        <f aca="false">ROUND(H25/$Q$1*Q25,0)</f>
        <v>333</v>
      </c>
      <c r="U25" s="188" t="n">
        <f aca="false">ROUND(I25/$Q$1*Q25,0)</f>
        <v>333</v>
      </c>
      <c r="V25" s="188" t="n">
        <f aca="false">ROUND(J25/$Q$1*Q25,0)</f>
        <v>166</v>
      </c>
      <c r="W25" s="188"/>
      <c r="X25" s="188" t="n">
        <f aca="false">SUM(R25:V25)</f>
        <v>1664</v>
      </c>
      <c r="Y25" s="188"/>
      <c r="Z25" s="188"/>
      <c r="AA25" s="188"/>
      <c r="AB25" s="188" t="n">
        <f aca="false">+SUM(Y25:AA25)</f>
        <v>0</v>
      </c>
      <c r="AC25" s="188" t="n">
        <f aca="false">+X25-AB25+W25</f>
        <v>1664</v>
      </c>
      <c r="AD25" s="209"/>
      <c r="AE25" s="124"/>
      <c r="AG25" s="124"/>
    </row>
    <row r="26" customFormat="false" ht="14" hidden="false" customHeight="true" outlineLevel="0" collapsed="false">
      <c r="A26" s="207"/>
      <c r="B26" s="179" t="n">
        <v>19</v>
      </c>
      <c r="C26" s="201" t="str">
        <f aca="false">Salary!C28</f>
        <v>Taniya</v>
      </c>
      <c r="D26" s="212" t="s">
        <v>112</v>
      </c>
      <c r="E26" s="179" t="s">
        <v>43</v>
      </c>
      <c r="F26" s="183" t="n">
        <f aca="false">+K26*30%</f>
        <v>1950</v>
      </c>
      <c r="G26" s="183" t="n">
        <f aca="false">+K26*20%</f>
        <v>1300</v>
      </c>
      <c r="H26" s="183" t="n">
        <f aca="false">+K26*20%</f>
        <v>1300</v>
      </c>
      <c r="I26" s="183" t="n">
        <f aca="false">+K26*20%</f>
        <v>1300</v>
      </c>
      <c r="J26" s="183" t="n">
        <f aca="false">+K26*10%</f>
        <v>650</v>
      </c>
      <c r="K26" s="183" t="n">
        <v>6500</v>
      </c>
      <c r="L26" s="184"/>
      <c r="M26" s="185"/>
      <c r="N26" s="186" t="n">
        <f aca="false">+K26+L26+M26</f>
        <v>6500</v>
      </c>
      <c r="O26" s="186"/>
      <c r="P26" s="186" t="n">
        <f aca="false">+O26+N26</f>
        <v>6500</v>
      </c>
      <c r="Q26" s="187" t="n">
        <f aca="false">Salary!Q28</f>
        <v>31</v>
      </c>
      <c r="R26" s="213" t="n">
        <f aca="false">ROUND(F26/$Q$1*Q26,0)</f>
        <v>1950</v>
      </c>
      <c r="S26" s="213" t="n">
        <f aca="false">ROUND(G26/$Q$1*Q26,0)</f>
        <v>1300</v>
      </c>
      <c r="T26" s="213" t="n">
        <f aca="false">ROUND(H26/$Q$1*Q26,0)</f>
        <v>1300</v>
      </c>
      <c r="U26" s="213" t="n">
        <f aca="false">ROUND(I26/$Q$1*Q26,0)</f>
        <v>1300</v>
      </c>
      <c r="V26" s="213" t="n">
        <f aca="false">ROUND(J26/$Q$1*Q26,0)</f>
        <v>650</v>
      </c>
      <c r="W26" s="213"/>
      <c r="X26" s="213" t="n">
        <f aca="false">SUM(R26:V26)</f>
        <v>6500</v>
      </c>
      <c r="Y26" s="213"/>
      <c r="Z26" s="213"/>
      <c r="AA26" s="213"/>
      <c r="AB26" s="188" t="n">
        <f aca="false">+SUM(Y26:AA26)</f>
        <v>0</v>
      </c>
      <c r="AC26" s="213" t="n">
        <f aca="false">+X26-AB26+W26</f>
        <v>6500</v>
      </c>
      <c r="AD26" s="209"/>
      <c r="AE26" s="124"/>
      <c r="AG26" s="124"/>
    </row>
    <row r="27" customFormat="false" ht="14" hidden="false" customHeight="true" outlineLevel="0" collapsed="false">
      <c r="A27" s="207"/>
      <c r="B27" s="179" t="n">
        <v>20</v>
      </c>
      <c r="C27" s="201" t="str">
        <f aca="false">Salary!C29</f>
        <v>Mansi Poonia</v>
      </c>
      <c r="D27" s="212" t="s">
        <v>112</v>
      </c>
      <c r="E27" s="179" t="s">
        <v>43</v>
      </c>
      <c r="F27" s="183" t="n">
        <f aca="false">+K27*30%</f>
        <v>1950</v>
      </c>
      <c r="G27" s="183" t="n">
        <f aca="false">+K27*20%</f>
        <v>1300</v>
      </c>
      <c r="H27" s="183" t="n">
        <f aca="false">+K27*20%</f>
        <v>1300</v>
      </c>
      <c r="I27" s="183" t="n">
        <f aca="false">+K27*20%</f>
        <v>1300</v>
      </c>
      <c r="J27" s="183" t="n">
        <f aca="false">+K27*10%</f>
        <v>650</v>
      </c>
      <c r="K27" s="183" t="n">
        <v>6500</v>
      </c>
      <c r="L27" s="184"/>
      <c r="M27" s="185"/>
      <c r="N27" s="186" t="n">
        <f aca="false">+K27+L27+M27</f>
        <v>6500</v>
      </c>
      <c r="O27" s="186"/>
      <c r="P27" s="186" t="n">
        <f aca="false">+O27+N27</f>
        <v>6500</v>
      </c>
      <c r="Q27" s="187" t="n">
        <f aca="false">Salary!Q29</f>
        <v>27</v>
      </c>
      <c r="R27" s="213" t="n">
        <f aca="false">ROUND(F27/$Q$1*Q27,0)</f>
        <v>1698</v>
      </c>
      <c r="S27" s="213" t="n">
        <f aca="false">ROUND(G27/$Q$1*Q27,0)</f>
        <v>1132</v>
      </c>
      <c r="T27" s="213" t="n">
        <f aca="false">ROUND(H27/$Q$1*Q27,0)</f>
        <v>1132</v>
      </c>
      <c r="U27" s="213" t="n">
        <f aca="false">ROUND(I27/$Q$1*Q27,0)</f>
        <v>1132</v>
      </c>
      <c r="V27" s="213" t="n">
        <f aca="false">ROUND(J27/$Q$1*Q27,0)</f>
        <v>566</v>
      </c>
      <c r="W27" s="213"/>
      <c r="X27" s="213" t="n">
        <f aca="false">SUM(R27:V27)</f>
        <v>5660</v>
      </c>
      <c r="Y27" s="213"/>
      <c r="Z27" s="213"/>
      <c r="AA27" s="213"/>
      <c r="AB27" s="188" t="n">
        <f aca="false">+SUM(Y27:AA27)</f>
        <v>0</v>
      </c>
      <c r="AC27" s="213" t="n">
        <f aca="false">+X27-AB27+W27</f>
        <v>5660</v>
      </c>
      <c r="AD27" s="209"/>
      <c r="AE27" s="124"/>
      <c r="AG27" s="124"/>
    </row>
    <row r="28" customFormat="false" ht="14" hidden="false" customHeight="true" outlineLevel="0" collapsed="false">
      <c r="A28" s="207"/>
      <c r="B28" s="179" t="n">
        <v>21</v>
      </c>
      <c r="C28" s="201" t="str">
        <f aca="false">Salary!C30</f>
        <v>Gautam Goswami</v>
      </c>
      <c r="D28" s="202" t="str">
        <f aca="false">Salary!D30</f>
        <v>20.07.2024</v>
      </c>
      <c r="E28" s="179" t="s">
        <v>43</v>
      </c>
      <c r="F28" s="183" t="n">
        <f aca="false">+K28*30%</f>
        <v>2100</v>
      </c>
      <c r="G28" s="183" t="n">
        <f aca="false">+K28*20%</f>
        <v>1400</v>
      </c>
      <c r="H28" s="183" t="n">
        <f aca="false">+K28*20%</f>
        <v>1400</v>
      </c>
      <c r="I28" s="183" t="n">
        <f aca="false">+K28*20%</f>
        <v>1400</v>
      </c>
      <c r="J28" s="183" t="n">
        <f aca="false">+K28*10%</f>
        <v>700</v>
      </c>
      <c r="K28" s="183" t="n">
        <v>7000</v>
      </c>
      <c r="L28" s="184"/>
      <c r="M28" s="185"/>
      <c r="N28" s="186" t="n">
        <f aca="false">+K28+L28+M28</f>
        <v>7000</v>
      </c>
      <c r="O28" s="186"/>
      <c r="P28" s="186" t="n">
        <f aca="false">+O28+N28</f>
        <v>7000</v>
      </c>
      <c r="Q28" s="187" t="n">
        <f aca="false">Salary!Q30</f>
        <v>31</v>
      </c>
      <c r="R28" s="213" t="n">
        <f aca="false">ROUND(F28/$Q$1*Q28,0)</f>
        <v>2100</v>
      </c>
      <c r="S28" s="213" t="n">
        <f aca="false">ROUND(G28/$Q$1*Q28,0)</f>
        <v>1400</v>
      </c>
      <c r="T28" s="213" t="n">
        <f aca="false">ROUND(H28/$Q$1*Q28,0)</f>
        <v>1400</v>
      </c>
      <c r="U28" s="213" t="n">
        <f aca="false">ROUND(I28/$Q$1*Q28,0)</f>
        <v>1400</v>
      </c>
      <c r="V28" s="213" t="n">
        <f aca="false">ROUND(J28/$Q$1*Q28,0)</f>
        <v>700</v>
      </c>
      <c r="W28" s="213"/>
      <c r="X28" s="213" t="n">
        <f aca="false">SUM(R28:V28)</f>
        <v>7000</v>
      </c>
      <c r="Y28" s="213"/>
      <c r="Z28" s="213"/>
      <c r="AA28" s="213"/>
      <c r="AB28" s="188" t="n">
        <f aca="false">+SUM(Y28:AA28)</f>
        <v>0</v>
      </c>
      <c r="AC28" s="213" t="n">
        <f aca="false">+X28-AB28+W28</f>
        <v>7000</v>
      </c>
      <c r="AD28" s="209"/>
      <c r="AE28" s="124"/>
      <c r="AG28" s="124"/>
    </row>
    <row r="29" customFormat="false" ht="14" hidden="false" customHeight="true" outlineLevel="0" collapsed="false">
      <c r="A29" s="207"/>
      <c r="B29" s="179" t="n">
        <v>22</v>
      </c>
      <c r="C29" s="201" t="str">
        <f aca="false">Salary!C31</f>
        <v>Shivani Sonekar</v>
      </c>
      <c r="D29" s="202" t="str">
        <f aca="false">Salary!D31</f>
        <v>21.02.2025</v>
      </c>
      <c r="E29" s="179" t="s">
        <v>43</v>
      </c>
      <c r="F29" s="183" t="n">
        <f aca="false">+K29*30%</f>
        <v>0</v>
      </c>
      <c r="G29" s="183" t="n">
        <f aca="false">+K29*20%</f>
        <v>0</v>
      </c>
      <c r="H29" s="183" t="n">
        <f aca="false">+K29*20%</f>
        <v>0</v>
      </c>
      <c r="I29" s="183" t="n">
        <f aca="false">+K29*20%</f>
        <v>0</v>
      </c>
      <c r="J29" s="183" t="n">
        <f aca="false">+K29*10%</f>
        <v>0</v>
      </c>
      <c r="K29" s="183"/>
      <c r="L29" s="184"/>
      <c r="M29" s="185"/>
      <c r="N29" s="186" t="n">
        <f aca="false">+K29+L29+M29</f>
        <v>0</v>
      </c>
      <c r="O29" s="186"/>
      <c r="P29" s="186" t="n">
        <f aca="false">+O29+N29</f>
        <v>0</v>
      </c>
      <c r="Q29" s="187" t="n">
        <f aca="false">Salary!Q31</f>
        <v>28</v>
      </c>
      <c r="R29" s="213" t="n">
        <f aca="false">ROUND(F29/$Q$1*Q29,0)</f>
        <v>0</v>
      </c>
      <c r="S29" s="213" t="n">
        <f aca="false">ROUND(G29/$Q$1*Q29,0)</f>
        <v>0</v>
      </c>
      <c r="T29" s="213" t="n">
        <f aca="false">ROUND(H29/$Q$1*Q29,0)</f>
        <v>0</v>
      </c>
      <c r="U29" s="213" t="n">
        <f aca="false">ROUND(I29/$Q$1*Q29,0)</f>
        <v>0</v>
      </c>
      <c r="V29" s="213" t="n">
        <f aca="false">ROUND(J29/$Q$1*Q29,0)</f>
        <v>0</v>
      </c>
      <c r="W29" s="213"/>
      <c r="X29" s="213" t="n">
        <f aca="false">SUM(R29:V29)</f>
        <v>0</v>
      </c>
      <c r="Y29" s="213"/>
      <c r="Z29" s="213"/>
      <c r="AA29" s="213"/>
      <c r="AB29" s="188" t="n">
        <f aca="false">+SUM(Y29:AA29)</f>
        <v>0</v>
      </c>
      <c r="AC29" s="213" t="n">
        <f aca="false">+X29-AB29+W29</f>
        <v>0</v>
      </c>
      <c r="AD29" s="209"/>
      <c r="AE29" s="124"/>
      <c r="AG29" s="124"/>
    </row>
    <row r="30" customFormat="false" ht="14" hidden="false" customHeight="true" outlineLevel="0" collapsed="false">
      <c r="A30" s="207"/>
      <c r="B30" s="179" t="n">
        <v>24</v>
      </c>
      <c r="C30" s="201" t="str">
        <f aca="false">Salary!C32</f>
        <v>Rashika Yadav</v>
      </c>
      <c r="D30" s="202" t="str">
        <f aca="false">Salary!D32</f>
        <v>11-07-2025</v>
      </c>
      <c r="E30" s="179" t="s">
        <v>43</v>
      </c>
      <c r="F30" s="183" t="n">
        <f aca="false">+K30*30%</f>
        <v>0</v>
      </c>
      <c r="G30" s="183" t="n">
        <f aca="false">+K30*20%</f>
        <v>0</v>
      </c>
      <c r="H30" s="183" t="n">
        <f aca="false">+K30*20%</f>
        <v>0</v>
      </c>
      <c r="I30" s="183" t="n">
        <f aca="false">+K30*20%</f>
        <v>0</v>
      </c>
      <c r="J30" s="183" t="n">
        <f aca="false">+K30*10%</f>
        <v>0</v>
      </c>
      <c r="K30" s="183" t="n">
        <v>0</v>
      </c>
      <c r="L30" s="184"/>
      <c r="M30" s="185"/>
      <c r="N30" s="186" t="n">
        <f aca="false">+K30+L30+M30</f>
        <v>0</v>
      </c>
      <c r="O30" s="186"/>
      <c r="P30" s="186" t="n">
        <f aca="false">+O30+N30</f>
        <v>0</v>
      </c>
      <c r="Q30" s="187" t="n">
        <f aca="false">Salary!Q32</f>
        <v>31</v>
      </c>
      <c r="R30" s="213" t="n">
        <f aca="false">ROUND(F30/$Q$1*Q30,0)</f>
        <v>0</v>
      </c>
      <c r="S30" s="213" t="n">
        <f aca="false">ROUND(G30/$Q$1*Q30,0)</f>
        <v>0</v>
      </c>
      <c r="T30" s="213" t="n">
        <f aca="false">ROUND(H30/$Q$1*Q30,0)</f>
        <v>0</v>
      </c>
      <c r="U30" s="213" t="n">
        <f aca="false">ROUND(I30/$Q$1*Q30,0)</f>
        <v>0</v>
      </c>
      <c r="V30" s="213" t="n">
        <f aca="false">ROUND(J30/$Q$1*Q30,0)</f>
        <v>0</v>
      </c>
      <c r="W30" s="213"/>
      <c r="X30" s="213" t="n">
        <f aca="false">SUM(R30:V30)</f>
        <v>0</v>
      </c>
      <c r="Y30" s="213"/>
      <c r="Z30" s="213"/>
      <c r="AA30" s="213"/>
      <c r="AB30" s="188" t="n">
        <f aca="false">+SUM(Y30:AA30)</f>
        <v>0</v>
      </c>
      <c r="AC30" s="213" t="n">
        <f aca="false">+X30-AB30+W30</f>
        <v>0</v>
      </c>
      <c r="AD30" s="209"/>
      <c r="AE30" s="124"/>
      <c r="AG30" s="124"/>
    </row>
    <row r="31" customFormat="false" ht="14" hidden="false" customHeight="true" outlineLevel="0" collapsed="false">
      <c r="A31" s="207"/>
      <c r="B31" s="179" t="n">
        <v>25</v>
      </c>
      <c r="C31" s="201" t="str">
        <f aca="false">Salary!C33</f>
        <v>Aparna Balchandran</v>
      </c>
      <c r="D31" s="202" t="str">
        <f aca="false">Salary!D33</f>
        <v>17-07-2025</v>
      </c>
      <c r="E31" s="179" t="s">
        <v>43</v>
      </c>
      <c r="F31" s="183" t="n">
        <f aca="false">+K31*30%</f>
        <v>0</v>
      </c>
      <c r="G31" s="183" t="n">
        <f aca="false">+K31*20%</f>
        <v>0</v>
      </c>
      <c r="H31" s="183" t="n">
        <f aca="false">+K31*20%</f>
        <v>0</v>
      </c>
      <c r="I31" s="183" t="n">
        <f aca="false">+K31*20%</f>
        <v>0</v>
      </c>
      <c r="J31" s="183" t="n">
        <f aca="false">+K31*10%</f>
        <v>0</v>
      </c>
      <c r="K31" s="183" t="n">
        <v>0</v>
      </c>
      <c r="L31" s="184"/>
      <c r="M31" s="185"/>
      <c r="N31" s="186" t="n">
        <f aca="false">+K31+L31+M31</f>
        <v>0</v>
      </c>
      <c r="O31" s="186"/>
      <c r="P31" s="186" t="n">
        <f aca="false">+O31+N31</f>
        <v>0</v>
      </c>
      <c r="Q31" s="187" t="n">
        <f aca="false">Salary!Q33</f>
        <v>30</v>
      </c>
      <c r="R31" s="213" t="n">
        <f aca="false">ROUND(F31/$Q$1*Q31,0)</f>
        <v>0</v>
      </c>
      <c r="S31" s="213" t="n">
        <f aca="false">ROUND(G31/$Q$1*Q31,0)</f>
        <v>0</v>
      </c>
      <c r="T31" s="213" t="n">
        <f aca="false">ROUND(H31/$Q$1*Q31,0)</f>
        <v>0</v>
      </c>
      <c r="U31" s="213" t="n">
        <f aca="false">ROUND(I31/$Q$1*Q31,0)</f>
        <v>0</v>
      </c>
      <c r="V31" s="213" t="n">
        <f aca="false">ROUND(J31/$Q$1*Q31,0)</f>
        <v>0</v>
      </c>
      <c r="W31" s="213"/>
      <c r="X31" s="213" t="n">
        <f aca="false">SUM(R31:V31)</f>
        <v>0</v>
      </c>
      <c r="Y31" s="213"/>
      <c r="Z31" s="213"/>
      <c r="AA31" s="213"/>
      <c r="AB31" s="188" t="n">
        <f aca="false">+SUM(Y31:AA31)</f>
        <v>0</v>
      </c>
      <c r="AC31" s="213" t="n">
        <f aca="false">+X31-AB31+W31</f>
        <v>0</v>
      </c>
      <c r="AD31" s="209"/>
      <c r="AE31" s="124"/>
      <c r="AG31" s="124"/>
    </row>
    <row r="32" customFormat="false" ht="14" hidden="false" customHeight="true" outlineLevel="0" collapsed="false">
      <c r="A32" s="207"/>
      <c r="B32" s="179" t="n">
        <v>27</v>
      </c>
      <c r="C32" s="201"/>
      <c r="D32" s="202"/>
      <c r="E32" s="179"/>
      <c r="F32" s="183" t="n">
        <f aca="false">+K32*30%</f>
        <v>0</v>
      </c>
      <c r="G32" s="183" t="n">
        <f aca="false">+K32*20%</f>
        <v>0</v>
      </c>
      <c r="H32" s="183" t="n">
        <f aca="false">+K32*20%</f>
        <v>0</v>
      </c>
      <c r="I32" s="183" t="n">
        <f aca="false">+K32*20%</f>
        <v>0</v>
      </c>
      <c r="J32" s="183" t="n">
        <f aca="false">+K32*10%</f>
        <v>0</v>
      </c>
      <c r="K32" s="183"/>
      <c r="L32" s="184"/>
      <c r="M32" s="185"/>
      <c r="N32" s="186" t="n">
        <f aca="false">+K32+L32+M32</f>
        <v>0</v>
      </c>
      <c r="O32" s="186"/>
      <c r="P32" s="186" t="n">
        <f aca="false">+O32+N32</f>
        <v>0</v>
      </c>
      <c r="Q32" s="187" t="n">
        <f aca="false">Salary!Q34</f>
        <v>31</v>
      </c>
      <c r="R32" s="213" t="n">
        <f aca="false">ROUND(F32/$Q$1*Q32,0)</f>
        <v>0</v>
      </c>
      <c r="S32" s="213" t="n">
        <f aca="false">ROUND(G32/$Q$1*Q32,0)</f>
        <v>0</v>
      </c>
      <c r="T32" s="213" t="n">
        <f aca="false">ROUND(H32/$Q$1*Q32,0)</f>
        <v>0</v>
      </c>
      <c r="U32" s="213" t="n">
        <f aca="false">ROUND(I32/$Q$1*Q32,0)</f>
        <v>0</v>
      </c>
      <c r="V32" s="213" t="n">
        <f aca="false">ROUND(J32/$Q$1*Q32,0)</f>
        <v>0</v>
      </c>
      <c r="W32" s="213"/>
      <c r="X32" s="213" t="n">
        <f aca="false">SUM(R32:V32)</f>
        <v>0</v>
      </c>
      <c r="Y32" s="213"/>
      <c r="Z32" s="213"/>
      <c r="AA32" s="213"/>
      <c r="AB32" s="188" t="n">
        <f aca="false">+SUM(Y32:AA32)</f>
        <v>0</v>
      </c>
      <c r="AC32" s="213" t="n">
        <f aca="false">+X32-AB32+W32</f>
        <v>0</v>
      </c>
      <c r="AD32" s="209"/>
      <c r="AE32" s="124"/>
      <c r="AG32" s="124"/>
    </row>
    <row r="33" customFormat="false" ht="14" hidden="false" customHeight="true" outlineLevel="0" collapsed="false">
      <c r="A33" s="207"/>
      <c r="B33" s="179" t="n">
        <v>28</v>
      </c>
      <c r="C33" s="201"/>
      <c r="D33" s="202"/>
      <c r="E33" s="179"/>
      <c r="F33" s="183" t="n">
        <f aca="false">+K33*30%</f>
        <v>0</v>
      </c>
      <c r="G33" s="183" t="n">
        <f aca="false">+K33*20%</f>
        <v>0</v>
      </c>
      <c r="H33" s="183" t="n">
        <f aca="false">+K33*20%</f>
        <v>0</v>
      </c>
      <c r="I33" s="183" t="n">
        <f aca="false">+K33*20%</f>
        <v>0</v>
      </c>
      <c r="J33" s="183" t="n">
        <f aca="false">+K33*10%</f>
        <v>0</v>
      </c>
      <c r="K33" s="183"/>
      <c r="L33" s="184"/>
      <c r="M33" s="185"/>
      <c r="N33" s="186" t="n">
        <f aca="false">+K33+L33+M33</f>
        <v>0</v>
      </c>
      <c r="O33" s="186"/>
      <c r="P33" s="186" t="n">
        <f aca="false">+O33+N33</f>
        <v>0</v>
      </c>
      <c r="Q33" s="187" t="n">
        <f aca="false">Salary!Q35</f>
        <v>31</v>
      </c>
      <c r="R33" s="213" t="n">
        <f aca="false">ROUND(F33/$Q$1*Q33,0)</f>
        <v>0</v>
      </c>
      <c r="S33" s="213" t="n">
        <f aca="false">ROUND(G33/$Q$1*Q33,0)</f>
        <v>0</v>
      </c>
      <c r="T33" s="213" t="n">
        <f aca="false">ROUND(H33/$Q$1*Q33,0)</f>
        <v>0</v>
      </c>
      <c r="U33" s="213" t="n">
        <f aca="false">ROUND(I33/$Q$1*Q33,0)</f>
        <v>0</v>
      </c>
      <c r="V33" s="213" t="n">
        <f aca="false">ROUND(J33/$Q$1*Q33,0)</f>
        <v>0</v>
      </c>
      <c r="W33" s="213"/>
      <c r="X33" s="213" t="n">
        <f aca="false">SUM(R33:V33)</f>
        <v>0</v>
      </c>
      <c r="Y33" s="213"/>
      <c r="Z33" s="213"/>
      <c r="AA33" s="213"/>
      <c r="AB33" s="188" t="n">
        <f aca="false">+SUM(Y33:AA33)</f>
        <v>0</v>
      </c>
      <c r="AC33" s="213" t="n">
        <f aca="false">+X33-AB33+W33</f>
        <v>0</v>
      </c>
      <c r="AD33" s="209"/>
      <c r="AE33" s="124"/>
      <c r="AG33" s="124"/>
    </row>
    <row r="34" customFormat="false" ht="14" hidden="false" customHeight="true" outlineLevel="0" collapsed="false">
      <c r="A34" s="207"/>
      <c r="B34" s="179" t="n">
        <v>29</v>
      </c>
      <c r="C34" s="201"/>
      <c r="D34" s="202"/>
      <c r="E34" s="179"/>
      <c r="F34" s="183" t="n">
        <f aca="false">+K34*30%</f>
        <v>0</v>
      </c>
      <c r="G34" s="183" t="n">
        <f aca="false">+K34*20%</f>
        <v>0</v>
      </c>
      <c r="H34" s="183" t="n">
        <f aca="false">+K34*20%</f>
        <v>0</v>
      </c>
      <c r="I34" s="183" t="n">
        <f aca="false">+K34*20%</f>
        <v>0</v>
      </c>
      <c r="J34" s="183" t="n">
        <f aca="false">+K34*10%</f>
        <v>0</v>
      </c>
      <c r="K34" s="183"/>
      <c r="L34" s="184"/>
      <c r="M34" s="185"/>
      <c r="N34" s="186" t="n">
        <f aca="false">+K34+L34+M34</f>
        <v>0</v>
      </c>
      <c r="O34" s="186"/>
      <c r="P34" s="186" t="n">
        <f aca="false">+O34+N34</f>
        <v>0</v>
      </c>
      <c r="Q34" s="187" t="n">
        <f aca="false">Salary!Q36</f>
        <v>31</v>
      </c>
      <c r="R34" s="213" t="n">
        <f aca="false">ROUND(F34/$Q$1*Q34,0)</f>
        <v>0</v>
      </c>
      <c r="S34" s="213" t="n">
        <f aca="false">ROUND(G34/$Q$1*Q34,0)</f>
        <v>0</v>
      </c>
      <c r="T34" s="213" t="n">
        <f aca="false">ROUND(H34/$Q$1*Q34,0)</f>
        <v>0</v>
      </c>
      <c r="U34" s="213" t="n">
        <f aca="false">ROUND(I34/$Q$1*Q34,0)</f>
        <v>0</v>
      </c>
      <c r="V34" s="213" t="n">
        <f aca="false">ROUND(J34/$Q$1*Q34,0)</f>
        <v>0</v>
      </c>
      <c r="W34" s="213"/>
      <c r="X34" s="213" t="n">
        <f aca="false">SUM(R34:V34)</f>
        <v>0</v>
      </c>
      <c r="Y34" s="213"/>
      <c r="Z34" s="213"/>
      <c r="AA34" s="213"/>
      <c r="AB34" s="188" t="n">
        <f aca="false">+SUM(Y34:AA34)</f>
        <v>0</v>
      </c>
      <c r="AC34" s="213" t="n">
        <f aca="false">+X34-AB34+W34</f>
        <v>0</v>
      </c>
      <c r="AD34" s="209"/>
      <c r="AE34" s="124"/>
      <c r="AG34" s="124"/>
    </row>
    <row r="35" customFormat="false" ht="14" hidden="false" customHeight="true" outlineLevel="0" collapsed="false">
      <c r="A35" s="207"/>
      <c r="B35" s="179"/>
      <c r="C35" s="201"/>
      <c r="D35" s="30" t="s">
        <v>39</v>
      </c>
      <c r="E35" s="179"/>
      <c r="F35" s="183" t="n">
        <f aca="false">SUM(F9:F34)</f>
        <v>26610</v>
      </c>
      <c r="G35" s="183" t="n">
        <f aca="false">SUM(G9:G34)</f>
        <v>17740</v>
      </c>
      <c r="H35" s="183" t="n">
        <f aca="false">SUM(H9:H34)</f>
        <v>17740</v>
      </c>
      <c r="I35" s="183" t="n">
        <f aca="false">SUM(I9:I34)</f>
        <v>17740</v>
      </c>
      <c r="J35" s="183" t="n">
        <f aca="false">SUM(J9:J34)</f>
        <v>8870</v>
      </c>
      <c r="K35" s="183" t="n">
        <f aca="false">SUM(K9:K34)</f>
        <v>88700</v>
      </c>
      <c r="L35" s="183" t="n">
        <f aca="false">SUM(L9:L29)</f>
        <v>0</v>
      </c>
      <c r="M35" s="183" t="n">
        <f aca="false">SUM(M9:M29)</f>
        <v>0</v>
      </c>
      <c r="N35" s="183" t="n">
        <f aca="false">SUM(N9:N34)</f>
        <v>88700</v>
      </c>
      <c r="O35" s="183" t="n">
        <f aca="false">SUM(O9:O29)</f>
        <v>0</v>
      </c>
      <c r="P35" s="183" t="n">
        <f aca="false">SUM(P9:P34)</f>
        <v>88700</v>
      </c>
      <c r="Q35" s="183" t="n">
        <f aca="false">SUM(Q9:Q29)</f>
        <v>581</v>
      </c>
      <c r="R35" s="183" t="n">
        <f aca="false">SUM(R9:R29)</f>
        <v>24608</v>
      </c>
      <c r="S35" s="183" t="n">
        <f aca="false">SUM(S9:S29)</f>
        <v>16406</v>
      </c>
      <c r="T35" s="183" t="n">
        <f aca="false">SUM(T9:T29)</f>
        <v>16406</v>
      </c>
      <c r="U35" s="183" t="n">
        <f aca="false">SUM(U9:U29)</f>
        <v>16406</v>
      </c>
      <c r="V35" s="183" t="n">
        <f aca="false">SUM(V9:V29)</f>
        <v>8202</v>
      </c>
      <c r="W35" s="183" t="n">
        <f aca="false">SUM(W9:W29)</f>
        <v>0</v>
      </c>
      <c r="X35" s="183" t="n">
        <f aca="false">SUM(X9:X29)</f>
        <v>82028</v>
      </c>
      <c r="Y35" s="183" t="n">
        <f aca="false">SUM(Y9:Y29)</f>
        <v>0</v>
      </c>
      <c r="Z35" s="183" t="n">
        <f aca="false">SUM(Z9:Z29)</f>
        <v>0</v>
      </c>
      <c r="AA35" s="183" t="n">
        <f aca="false">SUM(AA9:AA29)</f>
        <v>0</v>
      </c>
      <c r="AB35" s="183" t="n">
        <f aca="false">SUM(AB9:AB29)</f>
        <v>0</v>
      </c>
      <c r="AC35" s="183" t="n">
        <f aca="false">SUM(AC9:AC34)</f>
        <v>82028</v>
      </c>
      <c r="AD35" s="209"/>
      <c r="AE35" s="124"/>
      <c r="AG35" s="124"/>
    </row>
  </sheetData>
  <mergeCells count="1">
    <mergeCell ref="Y3:AA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30" activeCellId="0" sqref="A30"/>
    </sheetView>
  </sheetViews>
  <sheetFormatPr defaultColWidth="12.8671875" defaultRowHeight="12.8" zeroHeight="false" outlineLevelRow="0" outlineLevelCol="0"/>
  <cols>
    <col collapsed="false" customWidth="true" hidden="false" outlineLevel="0" max="1" min="1" style="155" width="7.15"/>
    <col collapsed="false" customWidth="true" hidden="false" outlineLevel="0" max="2" min="2" style="155" width="8.43"/>
    <col collapsed="false" customWidth="true" hidden="false" outlineLevel="0" max="3" min="3" style="155" width="21.29"/>
    <col collapsed="false" customWidth="false" hidden="false" outlineLevel="0" max="7" min="4" style="155" width="12.85"/>
    <col collapsed="false" customWidth="true" hidden="false" outlineLevel="0" max="8" min="8" style="155" width="9.13"/>
    <col collapsed="false" customWidth="true" hidden="false" outlineLevel="0" max="9" min="9" style="155" width="10.58"/>
    <col collapsed="false" customWidth="true" hidden="false" outlineLevel="0" max="10" min="10" style="155" width="11.85"/>
    <col collapsed="false" customWidth="true" hidden="false" outlineLevel="0" max="11" min="11" style="155" width="9.59"/>
    <col collapsed="false" customWidth="true" hidden="false" outlineLevel="0" max="12" min="12" style="155" width="10.12"/>
    <col collapsed="false" customWidth="true" hidden="false" outlineLevel="0" max="13" min="13" style="155" width="10.43"/>
    <col collapsed="false" customWidth="false" hidden="false" outlineLevel="0" max="22" min="14" style="155" width="12.85"/>
    <col collapsed="false" customWidth="true" hidden="false" outlineLevel="0" max="23" min="23" style="155" width="13.85"/>
    <col collapsed="false" customWidth="false" hidden="false" outlineLevel="0" max="25" min="24" style="155" width="12.85"/>
    <col collapsed="false" customWidth="true" hidden="false" outlineLevel="0" max="26" min="26" style="155" width="35.58"/>
    <col collapsed="false" customWidth="false" hidden="false" outlineLevel="0" max="1024" min="27" style="155" width="12.85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7"/>
  <sheetViews>
    <sheetView showFormulas="false" showGridLines="true" showRowColHeaders="true" showZeros="true" rightToLeft="false" tabSelected="false" showOutlineSymbols="true" defaultGridColor="true" view="normal" topLeftCell="A101" colorId="64" zoomScale="100" zoomScaleNormal="100" zoomScalePageLayoutView="100" workbookViewId="0">
      <selection pane="topLeft" activeCell="A77" activeCellId="0" sqref="A77"/>
    </sheetView>
  </sheetViews>
  <sheetFormatPr defaultColWidth="12.625" defaultRowHeight="13.8" zeroHeight="false" outlineLevelRow="0" outlineLevelCol="0"/>
  <cols>
    <col collapsed="false" customWidth="true" hidden="false" outlineLevel="0" max="1" min="1" style="124" width="22.51"/>
    <col collapsed="false" customWidth="true" hidden="false" outlineLevel="0" max="2" min="2" style="124" width="10.65"/>
    <col collapsed="false" customWidth="true" hidden="false" outlineLevel="0" max="3" min="3" style="124" width="4.73"/>
    <col collapsed="false" customWidth="true" hidden="false" outlineLevel="0" max="4" min="4" style="124" width="11.48"/>
    <col collapsed="false" customWidth="true" hidden="false" outlineLevel="0" max="5" min="5" style="124" width="12.53"/>
    <col collapsed="false" customWidth="true" hidden="false" outlineLevel="0" max="64" min="6" style="124" width="8.61"/>
  </cols>
  <sheetData>
    <row r="1" customFormat="false" ht="13.35" hidden="false" customHeight="true" outlineLevel="0" collapsed="false">
      <c r="A1" s="214"/>
      <c r="B1" s="215"/>
      <c r="C1" s="215"/>
      <c r="D1" s="215"/>
      <c r="E1" s="216"/>
    </row>
    <row r="4" customFormat="false" ht="13.8" hidden="false" customHeight="false" outlineLevel="0" collapsed="false">
      <c r="A4" s="214"/>
      <c r="B4" s="215"/>
      <c r="C4" s="215"/>
      <c r="D4" s="215"/>
      <c r="E4" s="217" t="s">
        <v>113</v>
      </c>
    </row>
    <row r="5" customFormat="false" ht="18.55" hidden="false" customHeight="false" outlineLevel="0" collapsed="false">
      <c r="A5" s="218"/>
      <c r="B5" s="219"/>
      <c r="C5" s="219"/>
      <c r="D5" s="219"/>
      <c r="E5" s="220"/>
    </row>
    <row r="6" customFormat="false" ht="18.55" hidden="false" customHeight="false" outlineLevel="0" collapsed="false">
      <c r="A6" s="221" t="s">
        <v>114</v>
      </c>
      <c r="B6" s="222"/>
      <c r="C6" s="222"/>
      <c r="D6" s="219"/>
      <c r="E6" s="220"/>
    </row>
    <row r="7" customFormat="false" ht="18.55" hidden="false" customHeight="false" outlineLevel="0" collapsed="false">
      <c r="A7" s="218"/>
      <c r="B7" s="222"/>
      <c r="C7" s="222"/>
      <c r="D7" s="219"/>
      <c r="E7" s="220"/>
    </row>
    <row r="8" customFormat="false" ht="13.8" hidden="false" customHeight="false" outlineLevel="0" collapsed="false">
      <c r="A8" s="223" t="s">
        <v>115</v>
      </c>
      <c r="B8" s="224" t="s">
        <v>116</v>
      </c>
      <c r="C8" s="224"/>
      <c r="D8" s="122"/>
      <c r="E8" s="225"/>
    </row>
    <row r="9" customFormat="false" ht="13.8" hidden="false" customHeight="false" outlineLevel="0" collapsed="false">
      <c r="A9" s="223" t="s">
        <v>117</v>
      </c>
      <c r="B9" s="122" t="s">
        <v>118</v>
      </c>
      <c r="C9" s="122"/>
      <c r="D9" s="122"/>
      <c r="E9" s="225"/>
    </row>
    <row r="10" customFormat="false" ht="13.8" hidden="false" customHeight="false" outlineLevel="0" collapsed="false">
      <c r="A10" s="223"/>
      <c r="B10" s="122"/>
      <c r="C10" s="122"/>
      <c r="D10" s="122"/>
      <c r="E10" s="225"/>
    </row>
    <row r="11" customFormat="false" ht="13.8" hidden="false" customHeight="false" outlineLevel="0" collapsed="false">
      <c r="A11" s="226" t="s">
        <v>119</v>
      </c>
      <c r="B11" s="227" t="s">
        <v>120</v>
      </c>
      <c r="C11" s="122"/>
      <c r="D11" s="228" t="s">
        <v>121</v>
      </c>
      <c r="E11" s="229" t="s">
        <v>120</v>
      </c>
    </row>
    <row r="12" customFormat="false" ht="13.8" hidden="false" customHeight="false" outlineLevel="0" collapsed="false">
      <c r="A12" s="223"/>
      <c r="B12" s="122"/>
      <c r="C12" s="122"/>
      <c r="D12" s="122"/>
      <c r="E12" s="225"/>
    </row>
    <row r="13" customFormat="false" ht="13.8" hidden="false" customHeight="false" outlineLevel="0" collapsed="false">
      <c r="A13" s="223" t="s">
        <v>21</v>
      </c>
      <c r="B13" s="122" t="n">
        <f aca="false">+ROUND(B21/2,0)</f>
        <v>10100</v>
      </c>
      <c r="C13" s="122"/>
      <c r="D13" s="227" t="s">
        <v>24</v>
      </c>
      <c r="E13" s="225" t="n">
        <f aca="false">ROUND((+B24),0)</f>
        <v>0</v>
      </c>
    </row>
    <row r="14" customFormat="false" ht="13.8" hidden="false" customHeight="false" outlineLevel="0" collapsed="false">
      <c r="A14" s="223"/>
      <c r="B14" s="122"/>
      <c r="C14" s="122"/>
      <c r="D14" s="122"/>
      <c r="E14" s="225"/>
    </row>
    <row r="15" customFormat="false" ht="13.8" hidden="false" customHeight="false" outlineLevel="0" collapsed="false">
      <c r="A15" s="223" t="s">
        <v>10</v>
      </c>
      <c r="B15" s="122" t="n">
        <f aca="false">B13/2</f>
        <v>5050</v>
      </c>
      <c r="C15" s="122"/>
      <c r="D15" s="227" t="s">
        <v>25</v>
      </c>
      <c r="E15" s="225" t="n">
        <f aca="false">+IF(B25&gt;0,ROUNDUP((B21)*0.0175,0),0)</f>
        <v>0</v>
      </c>
      <c r="F15" s="124" t="n">
        <f aca="false">+B13+B17+B19</f>
        <v>15150</v>
      </c>
    </row>
    <row r="16" customFormat="false" ht="13.8" hidden="false" customHeight="false" outlineLevel="0" collapsed="false">
      <c r="A16" s="223"/>
      <c r="B16" s="122"/>
      <c r="C16" s="122"/>
      <c r="D16" s="122"/>
      <c r="E16" s="225"/>
    </row>
    <row r="17" customFormat="false" ht="13.8" hidden="false" customHeight="false" outlineLevel="0" collapsed="false">
      <c r="A17" s="223" t="s">
        <v>122</v>
      </c>
      <c r="B17" s="122" t="n">
        <v>1515</v>
      </c>
      <c r="C17" s="122"/>
      <c r="D17" s="227" t="s">
        <v>123</v>
      </c>
      <c r="E17" s="225" t="n">
        <v>0</v>
      </c>
    </row>
    <row r="18" customFormat="false" ht="13.8" hidden="false" customHeight="false" outlineLevel="0" collapsed="false">
      <c r="A18" s="223"/>
      <c r="B18" s="122"/>
      <c r="C18" s="122"/>
      <c r="D18" s="122"/>
      <c r="E18" s="225"/>
    </row>
    <row r="19" customFormat="false" ht="13.8" hidden="false" customHeight="false" outlineLevel="0" collapsed="false">
      <c r="A19" s="223" t="s">
        <v>124</v>
      </c>
      <c r="B19" s="122" t="n">
        <f aca="false">B21-B13-B15-B17</f>
        <v>3535</v>
      </c>
      <c r="C19" s="122"/>
      <c r="D19" s="227" t="s">
        <v>124</v>
      </c>
      <c r="E19" s="225" t="n">
        <v>0</v>
      </c>
    </row>
    <row r="20" customFormat="false" ht="13.8" hidden="false" customHeight="false" outlineLevel="0" collapsed="false">
      <c r="A20" s="223"/>
      <c r="B20" s="122"/>
      <c r="C20" s="122"/>
      <c r="D20" s="122"/>
      <c r="E20" s="225"/>
    </row>
    <row r="21" customFormat="false" ht="13.8" hidden="false" customHeight="false" outlineLevel="0" collapsed="false">
      <c r="A21" s="223" t="s">
        <v>125</v>
      </c>
      <c r="B21" s="122" t="n">
        <v>20200</v>
      </c>
      <c r="C21" s="122"/>
      <c r="D21" s="227" t="s">
        <v>39</v>
      </c>
      <c r="E21" s="225" t="n">
        <f aca="false">+E19+E17+E15+E13</f>
        <v>0</v>
      </c>
      <c r="F21" s="122"/>
    </row>
    <row r="22" customFormat="false" ht="13.8" hidden="false" customHeight="false" outlineLevel="0" collapsed="false">
      <c r="A22" s="223"/>
      <c r="B22" s="122"/>
      <c r="C22" s="122"/>
      <c r="D22" s="122"/>
      <c r="E22" s="225"/>
    </row>
    <row r="23" customFormat="false" ht="13.8" hidden="false" customHeight="false" outlineLevel="0" collapsed="false">
      <c r="A23" s="230" t="s">
        <v>126</v>
      </c>
      <c r="B23" s="230" t="n">
        <f aca="false">+B24+B25+B26</f>
        <v>486</v>
      </c>
      <c r="C23" s="122"/>
      <c r="D23" s="122"/>
      <c r="E23" s="225"/>
    </row>
    <row r="24" customFormat="false" ht="13.8" hidden="false" customHeight="false" outlineLevel="0" collapsed="false">
      <c r="A24" s="223" t="s">
        <v>127</v>
      </c>
      <c r="B24" s="231"/>
      <c r="C24" s="122"/>
      <c r="D24" s="122"/>
      <c r="E24" s="225"/>
    </row>
    <row r="25" customFormat="false" ht="13.8" hidden="false" customHeight="false" outlineLevel="0" collapsed="false">
      <c r="A25" s="223" t="s">
        <v>128</v>
      </c>
      <c r="B25" s="122"/>
      <c r="C25" s="122"/>
      <c r="D25" s="122"/>
      <c r="E25" s="225"/>
    </row>
    <row r="26" customFormat="false" ht="13.8" hidden="false" customHeight="false" outlineLevel="0" collapsed="false">
      <c r="A26" s="223" t="s">
        <v>129</v>
      </c>
      <c r="B26" s="122" t="n">
        <v>486</v>
      </c>
      <c r="C26" s="122"/>
      <c r="D26" s="122"/>
      <c r="E26" s="225"/>
    </row>
    <row r="27" customFormat="false" ht="13.8" hidden="false" customHeight="false" outlineLevel="0" collapsed="false">
      <c r="A27" s="226" t="s">
        <v>130</v>
      </c>
      <c r="B27" s="232" t="n">
        <f aca="false">+B21+B23</f>
        <v>20686</v>
      </c>
      <c r="C27" s="224"/>
      <c r="D27" s="228" t="s">
        <v>131</v>
      </c>
      <c r="E27" s="233" t="n">
        <f aca="false">+B21-E21</f>
        <v>20200</v>
      </c>
    </row>
    <row r="28" customFormat="false" ht="13.8" hidden="false" customHeight="false" outlineLevel="0" collapsed="false">
      <c r="A28" s="223"/>
      <c r="B28" s="122"/>
      <c r="C28" s="122"/>
      <c r="D28" s="122"/>
      <c r="E28" s="225"/>
    </row>
    <row r="29" customFormat="false" ht="13.8" hidden="false" customHeight="false" outlineLevel="0" collapsed="false">
      <c r="A29" s="223" t="s">
        <v>132</v>
      </c>
      <c r="B29" s="224" t="n">
        <f aca="false">+B27*12</f>
        <v>248232</v>
      </c>
      <c r="C29" s="224"/>
      <c r="D29" s="228" t="s">
        <v>133</v>
      </c>
      <c r="E29" s="233" t="n">
        <f aca="false">+E27*12</f>
        <v>242400</v>
      </c>
    </row>
    <row r="30" customFormat="false" ht="13.8" hidden="false" customHeight="false" outlineLevel="0" collapsed="false">
      <c r="A30" s="223"/>
      <c r="B30" s="122"/>
      <c r="C30" s="122"/>
      <c r="D30" s="122"/>
      <c r="E30" s="225"/>
    </row>
    <row r="31" customFormat="false" ht="13.8" hidden="false" customHeight="false" outlineLevel="0" collapsed="false">
      <c r="A31" s="234" t="s">
        <v>134</v>
      </c>
      <c r="B31" s="122"/>
      <c r="C31" s="122"/>
      <c r="D31" s="122"/>
      <c r="E31" s="225"/>
    </row>
    <row r="32" customFormat="false" ht="13.8" hidden="false" customHeight="false" outlineLevel="0" collapsed="false">
      <c r="A32" s="235" t="s">
        <v>135</v>
      </c>
      <c r="B32" s="236" t="s">
        <v>136</v>
      </c>
      <c r="C32" s="122"/>
      <c r="D32" s="122"/>
      <c r="E32" s="225"/>
    </row>
    <row r="33" customFormat="false" ht="13.8" hidden="false" customHeight="false" outlineLevel="0" collapsed="false">
      <c r="A33" s="237" t="n">
        <v>20000</v>
      </c>
      <c r="B33" s="227" t="n">
        <f aca="false">A33*10</f>
        <v>200000</v>
      </c>
      <c r="C33" s="122"/>
      <c r="D33" s="238" t="s">
        <v>137</v>
      </c>
      <c r="E33" s="225"/>
    </row>
    <row r="34" customFormat="false" ht="13.8" hidden="false" customHeight="false" outlineLevel="0" collapsed="false">
      <c r="A34" s="237" t="n">
        <v>20000</v>
      </c>
      <c r="B34" s="238" t="s">
        <v>138</v>
      </c>
      <c r="C34" s="122" t="s">
        <v>139</v>
      </c>
      <c r="D34" s="239" t="n">
        <v>0.25</v>
      </c>
      <c r="E34" s="240" t="n">
        <f aca="false">+A34*0.25</f>
        <v>5000</v>
      </c>
    </row>
    <row r="35" customFormat="false" ht="13.8" hidden="false" customHeight="false" outlineLevel="0" collapsed="false">
      <c r="A35" s="237" t="n">
        <v>20000</v>
      </c>
      <c r="B35" s="238" t="s">
        <v>140</v>
      </c>
      <c r="C35" s="122" t="s">
        <v>139</v>
      </c>
      <c r="D35" s="239" t="n">
        <v>0.5</v>
      </c>
      <c r="E35" s="240" t="n">
        <f aca="false">+A35*0.5</f>
        <v>10000</v>
      </c>
    </row>
    <row r="36" customFormat="false" ht="13.8" hidden="false" customHeight="false" outlineLevel="0" collapsed="false">
      <c r="A36" s="237" t="n">
        <v>20000</v>
      </c>
      <c r="B36" s="238" t="s">
        <v>141</v>
      </c>
      <c r="C36" s="122" t="s">
        <v>139</v>
      </c>
      <c r="D36" s="239" t="n">
        <v>1</v>
      </c>
      <c r="E36" s="240" t="n">
        <f aca="false">+A36*1</f>
        <v>20000</v>
      </c>
    </row>
    <row r="37" customFormat="false" ht="13.8" hidden="false" customHeight="false" outlineLevel="0" collapsed="false">
      <c r="A37" s="241" t="s">
        <v>142</v>
      </c>
      <c r="B37" s="242"/>
      <c r="C37" s="242"/>
      <c r="D37" s="242"/>
      <c r="E37" s="243"/>
    </row>
    <row r="40" customFormat="false" ht="13.8" hidden="false" customHeight="false" outlineLevel="0" collapsed="false">
      <c r="A40" s="214"/>
      <c r="B40" s="215"/>
      <c r="C40" s="215"/>
      <c r="D40" s="215"/>
      <c r="E40" s="217" t="s">
        <v>143</v>
      </c>
    </row>
    <row r="41" customFormat="false" ht="18.55" hidden="false" customHeight="false" outlineLevel="0" collapsed="false">
      <c r="A41" s="218"/>
      <c r="B41" s="219"/>
      <c r="C41" s="219"/>
      <c r="D41" s="219"/>
      <c r="E41" s="220"/>
    </row>
    <row r="42" customFormat="false" ht="18.55" hidden="false" customHeight="false" outlineLevel="0" collapsed="false">
      <c r="A42" s="244" t="s">
        <v>144</v>
      </c>
      <c r="B42" s="222"/>
      <c r="C42" s="222"/>
      <c r="D42" s="219"/>
      <c r="E42" s="220"/>
    </row>
    <row r="43" customFormat="false" ht="18.55" hidden="false" customHeight="false" outlineLevel="0" collapsed="false">
      <c r="A43" s="218"/>
      <c r="B43" s="222"/>
      <c r="C43" s="222"/>
      <c r="D43" s="219"/>
      <c r="E43" s="220"/>
    </row>
    <row r="44" customFormat="false" ht="13.8" hidden="false" customHeight="false" outlineLevel="0" collapsed="false">
      <c r="A44" s="223" t="s">
        <v>115</v>
      </c>
      <c r="B44" s="224" t="s">
        <v>145</v>
      </c>
      <c r="C44" s="224"/>
      <c r="D44" s="122"/>
      <c r="E44" s="225"/>
    </row>
    <row r="45" customFormat="false" ht="13.8" hidden="false" customHeight="false" outlineLevel="0" collapsed="false">
      <c r="A45" s="223" t="s">
        <v>117</v>
      </c>
      <c r="B45" s="122" t="s">
        <v>146</v>
      </c>
      <c r="C45" s="122"/>
      <c r="D45" s="122"/>
      <c r="E45" s="225"/>
    </row>
    <row r="46" customFormat="false" ht="13.8" hidden="false" customHeight="false" outlineLevel="0" collapsed="false">
      <c r="A46" s="223"/>
      <c r="B46" s="122"/>
      <c r="C46" s="122"/>
      <c r="D46" s="122"/>
      <c r="E46" s="225"/>
    </row>
    <row r="47" customFormat="false" ht="13.8" hidden="false" customHeight="false" outlineLevel="0" collapsed="false">
      <c r="A47" s="226" t="s">
        <v>119</v>
      </c>
      <c r="B47" s="227" t="s">
        <v>120</v>
      </c>
      <c r="C47" s="122"/>
      <c r="D47" s="228" t="s">
        <v>121</v>
      </c>
      <c r="E47" s="229" t="s">
        <v>120</v>
      </c>
    </row>
    <row r="48" customFormat="false" ht="13.8" hidden="false" customHeight="false" outlineLevel="0" collapsed="false">
      <c r="A48" s="223"/>
      <c r="B48" s="122"/>
      <c r="C48" s="122"/>
      <c r="D48" s="122"/>
      <c r="E48" s="225"/>
    </row>
    <row r="49" customFormat="false" ht="13.8" hidden="false" customHeight="false" outlineLevel="0" collapsed="false">
      <c r="A49" s="223" t="s">
        <v>21</v>
      </c>
      <c r="B49" s="245" t="n">
        <f aca="false">B55/2</f>
        <v>7350</v>
      </c>
      <c r="C49" s="122"/>
      <c r="D49" s="227" t="s">
        <v>24</v>
      </c>
      <c r="E49" s="246" t="n">
        <f aca="false">+B57</f>
        <v>1323</v>
      </c>
    </row>
    <row r="50" customFormat="false" ht="13.8" hidden="false" customHeight="false" outlineLevel="0" collapsed="false">
      <c r="A50" s="223" t="s">
        <v>10</v>
      </c>
      <c r="B50" s="247" t="n">
        <f aca="false">+B49*50%</f>
        <v>3675</v>
      </c>
      <c r="C50" s="122"/>
      <c r="D50" s="227" t="s">
        <v>25</v>
      </c>
      <c r="E50" s="245" t="n">
        <f aca="false">+IF(B58&gt;0,ROUNDUP((B55)*0.0075,0),0)</f>
        <v>111</v>
      </c>
    </row>
    <row r="51" customFormat="false" ht="13.8" hidden="false" customHeight="false" outlineLevel="0" collapsed="false">
      <c r="A51" s="223" t="s">
        <v>147</v>
      </c>
      <c r="B51" s="247" t="n">
        <v>1600</v>
      </c>
      <c r="C51" s="122"/>
      <c r="D51" s="227" t="s">
        <v>123</v>
      </c>
      <c r="E51" s="225" t="n">
        <v>0</v>
      </c>
    </row>
    <row r="52" customFormat="false" ht="13.8" hidden="false" customHeight="false" outlineLevel="0" collapsed="false">
      <c r="A52" s="223" t="s">
        <v>122</v>
      </c>
      <c r="B52" s="245" t="n">
        <f aca="false">+B49*0.09</f>
        <v>661.5</v>
      </c>
      <c r="C52" s="122"/>
      <c r="D52" s="227" t="s">
        <v>99</v>
      </c>
      <c r="E52" s="225" t="n">
        <v>0</v>
      </c>
    </row>
    <row r="53" customFormat="false" ht="13.8" hidden="false" customHeight="false" outlineLevel="0" collapsed="false">
      <c r="A53" s="223" t="s">
        <v>148</v>
      </c>
      <c r="B53" s="245" t="n">
        <f aca="false">B55-B49-B50-B51-B52</f>
        <v>1413.5</v>
      </c>
      <c r="C53" s="122"/>
      <c r="D53" s="227" t="s">
        <v>106</v>
      </c>
      <c r="E53" s="225" t="n">
        <v>0</v>
      </c>
    </row>
    <row r="54" customFormat="false" ht="13.8" hidden="false" customHeight="false" outlineLevel="0" collapsed="false">
      <c r="A54" s="223" t="s">
        <v>106</v>
      </c>
      <c r="B54" s="247" t="n">
        <v>0</v>
      </c>
      <c r="C54" s="122"/>
      <c r="D54" s="227" t="s">
        <v>149</v>
      </c>
      <c r="E54" s="225" t="n">
        <v>0</v>
      </c>
    </row>
    <row r="55" customFormat="false" ht="13.8" hidden="false" customHeight="false" outlineLevel="0" collapsed="false">
      <c r="A55" s="226" t="s">
        <v>150</v>
      </c>
      <c r="B55" s="224" t="n">
        <v>14700</v>
      </c>
      <c r="C55" s="122"/>
      <c r="D55" s="227" t="s">
        <v>151</v>
      </c>
      <c r="E55" s="225" t="n">
        <v>0</v>
      </c>
    </row>
    <row r="56" customFormat="false" ht="13.8" hidden="false" customHeight="false" outlineLevel="0" collapsed="false">
      <c r="A56" s="224" t="s">
        <v>152</v>
      </c>
      <c r="B56" s="230"/>
      <c r="C56" s="122"/>
      <c r="D56" s="122"/>
      <c r="E56" s="225"/>
    </row>
    <row r="57" customFormat="false" ht="13.8" hidden="false" customHeight="false" outlineLevel="0" collapsed="false">
      <c r="A57" s="223" t="s">
        <v>127</v>
      </c>
      <c r="B57" s="248" t="n">
        <f aca="false">ROUND((B55-B50)*12%,0)</f>
        <v>1323</v>
      </c>
      <c r="C57" s="122"/>
      <c r="D57" s="122"/>
      <c r="E57" s="225"/>
    </row>
    <row r="58" customFormat="false" ht="13.8" hidden="false" customHeight="false" outlineLevel="0" collapsed="false">
      <c r="A58" s="223" t="s">
        <v>128</v>
      </c>
      <c r="B58" s="122" t="n">
        <f aca="false">IF(B54&gt;21000,0,ROUND(B55*0.0325,0))</f>
        <v>478</v>
      </c>
      <c r="C58" s="122"/>
      <c r="D58" s="122"/>
      <c r="E58" s="225"/>
    </row>
    <row r="59" customFormat="false" ht="13.8" hidden="false" customHeight="false" outlineLevel="0" collapsed="false">
      <c r="A59" s="226" t="s">
        <v>153</v>
      </c>
      <c r="B59" s="224" t="n">
        <f aca="false">+B58+B57</f>
        <v>1801</v>
      </c>
      <c r="C59" s="122"/>
      <c r="D59" s="122"/>
      <c r="E59" s="225"/>
    </row>
    <row r="60" customFormat="false" ht="13.8" hidden="false" customHeight="false" outlineLevel="0" collapsed="false">
      <c r="A60" s="226" t="s">
        <v>154</v>
      </c>
      <c r="B60" s="122"/>
      <c r="C60" s="122"/>
      <c r="D60" s="122"/>
      <c r="E60" s="225"/>
    </row>
    <row r="61" customFormat="false" ht="13.8" hidden="false" customHeight="false" outlineLevel="0" collapsed="false">
      <c r="A61" s="223" t="s">
        <v>100</v>
      </c>
      <c r="B61" s="247" t="n">
        <f aca="false">B67*30%</f>
        <v>1050</v>
      </c>
      <c r="C61" s="122"/>
      <c r="D61" s="122"/>
      <c r="E61" s="225"/>
    </row>
    <row r="62" customFormat="false" ht="13.8" hidden="false" customHeight="false" outlineLevel="0" collapsed="false">
      <c r="A62" s="223" t="s">
        <v>155</v>
      </c>
      <c r="B62" s="247" t="n">
        <f aca="false">B67*20%</f>
        <v>700</v>
      </c>
      <c r="C62" s="122"/>
      <c r="D62" s="122"/>
      <c r="E62" s="225"/>
    </row>
    <row r="63" customFormat="false" ht="13.8" hidden="false" customHeight="false" outlineLevel="0" collapsed="false">
      <c r="A63" s="223" t="s">
        <v>102</v>
      </c>
      <c r="B63" s="247" t="n">
        <f aca="false">B67*20%</f>
        <v>700</v>
      </c>
      <c r="C63" s="122"/>
      <c r="D63" s="122"/>
      <c r="E63" s="225"/>
    </row>
    <row r="64" customFormat="false" ht="13.8" hidden="false" customHeight="false" outlineLevel="0" collapsed="false">
      <c r="A64" s="223" t="s">
        <v>156</v>
      </c>
      <c r="B64" s="247" t="n">
        <f aca="false">B67*20%</f>
        <v>700</v>
      </c>
      <c r="C64" s="122"/>
      <c r="D64" s="122"/>
      <c r="E64" s="225"/>
    </row>
    <row r="65" customFormat="false" ht="13.8" hidden="false" customHeight="false" outlineLevel="0" collapsed="false">
      <c r="A65" s="223" t="s">
        <v>104</v>
      </c>
      <c r="B65" s="247" t="n">
        <f aca="false">B67*10%</f>
        <v>350</v>
      </c>
      <c r="C65" s="122"/>
      <c r="D65" s="122"/>
      <c r="E65" s="225"/>
    </row>
    <row r="66" customFormat="false" ht="13.8" hidden="false" customHeight="false" outlineLevel="0" collapsed="false">
      <c r="A66" s="223" t="s">
        <v>106</v>
      </c>
      <c r="B66" s="247"/>
      <c r="C66" s="122"/>
      <c r="D66" s="122"/>
      <c r="E66" s="225"/>
    </row>
    <row r="67" customFormat="false" ht="13.8" hidden="false" customHeight="false" outlineLevel="0" collapsed="false">
      <c r="A67" s="226" t="s">
        <v>157</v>
      </c>
      <c r="B67" s="224" t="n">
        <v>3500</v>
      </c>
      <c r="C67" s="122"/>
      <c r="D67" s="224" t="s">
        <v>158</v>
      </c>
      <c r="E67" s="224" t="n">
        <f aca="false">SUM(E49:E66)</f>
        <v>1434</v>
      </c>
    </row>
    <row r="68" customFormat="false" ht="18.4" hidden="false" customHeight="true" outlineLevel="0" collapsed="false">
      <c r="A68" s="226" t="s">
        <v>159</v>
      </c>
      <c r="B68" s="232" t="n">
        <f aca="false">B55+B59+B67</f>
        <v>20001</v>
      </c>
      <c r="C68" s="224"/>
      <c r="D68" s="228" t="s">
        <v>131</v>
      </c>
      <c r="E68" s="233" t="n">
        <f aca="false">B68-B59-E67</f>
        <v>16766</v>
      </c>
    </row>
    <row r="69" customFormat="false" ht="13.8" hidden="false" customHeight="false" outlineLevel="0" collapsed="false">
      <c r="A69" s="223"/>
      <c r="B69" s="122"/>
      <c r="C69" s="122"/>
      <c r="D69" s="122"/>
      <c r="E69" s="225"/>
    </row>
    <row r="70" customFormat="false" ht="13.8" hidden="false" customHeight="false" outlineLevel="0" collapsed="false">
      <c r="A70" s="226" t="s">
        <v>132</v>
      </c>
      <c r="B70" s="224" t="n">
        <f aca="false">+B68*12</f>
        <v>240012</v>
      </c>
      <c r="C70" s="224"/>
      <c r="D70" s="228" t="s">
        <v>133</v>
      </c>
      <c r="E70" s="233" t="n">
        <f aca="false">+E68*12</f>
        <v>201192</v>
      </c>
    </row>
    <row r="71" customFormat="false" ht="13.8" hidden="false" customHeight="false" outlineLevel="0" collapsed="false">
      <c r="A71" s="223"/>
      <c r="B71" s="122"/>
      <c r="C71" s="122"/>
      <c r="D71" s="122"/>
      <c r="E71" s="225"/>
    </row>
    <row r="72" customFormat="false" ht="13.8" hidden="false" customHeight="false" outlineLevel="0" collapsed="false">
      <c r="A72" s="249"/>
      <c r="B72" s="122"/>
      <c r="C72" s="122"/>
      <c r="D72" s="122"/>
      <c r="E72" s="225"/>
    </row>
    <row r="73" customFormat="false" ht="13.8" hidden="false" customHeight="false" outlineLevel="0" collapsed="false">
      <c r="A73" s="249"/>
      <c r="B73" s="122"/>
      <c r="C73" s="122"/>
      <c r="D73" s="122"/>
      <c r="E73" s="225"/>
    </row>
    <row r="74" customFormat="false" ht="13.8" hidden="false" customHeight="false" outlineLevel="0" collapsed="false">
      <c r="A74" s="241"/>
      <c r="B74" s="242"/>
      <c r="C74" s="242"/>
      <c r="D74" s="242"/>
      <c r="E74" s="243"/>
    </row>
    <row r="78" customFormat="false" ht="13.8" hidden="false" customHeight="false" outlineLevel="0" collapsed="false">
      <c r="A78" s="214"/>
      <c r="B78" s="215"/>
      <c r="C78" s="215"/>
      <c r="D78" s="215"/>
      <c r="E78" s="217" t="s">
        <v>143</v>
      </c>
    </row>
    <row r="79" customFormat="false" ht="18.55" hidden="false" customHeight="false" outlineLevel="0" collapsed="false">
      <c r="A79" s="218"/>
      <c r="B79" s="219"/>
      <c r="C79" s="219"/>
      <c r="D79" s="219"/>
      <c r="E79" s="220"/>
    </row>
    <row r="80" customFormat="false" ht="18.55" hidden="false" customHeight="false" outlineLevel="0" collapsed="false">
      <c r="A80" s="244" t="s">
        <v>144</v>
      </c>
      <c r="B80" s="222"/>
      <c r="C80" s="222"/>
      <c r="D80" s="219"/>
      <c r="E80" s="220"/>
    </row>
    <row r="81" customFormat="false" ht="18.55" hidden="false" customHeight="false" outlineLevel="0" collapsed="false">
      <c r="A81" s="218"/>
      <c r="B81" s="222"/>
      <c r="C81" s="222"/>
      <c r="D81" s="219"/>
      <c r="E81" s="220"/>
    </row>
    <row r="82" customFormat="false" ht="13.8" hidden="false" customHeight="false" outlineLevel="0" collapsed="false">
      <c r="A82" s="223" t="s">
        <v>115</v>
      </c>
      <c r="B82" s="224" t="s">
        <v>160</v>
      </c>
      <c r="C82" s="224"/>
      <c r="D82" s="122"/>
      <c r="E82" s="225"/>
    </row>
    <row r="83" customFormat="false" ht="13.8" hidden="false" customHeight="false" outlineLevel="0" collapsed="false">
      <c r="A83" s="223" t="s">
        <v>117</v>
      </c>
      <c r="B83" s="122" t="s">
        <v>161</v>
      </c>
      <c r="C83" s="122"/>
      <c r="D83" s="122"/>
      <c r="E83" s="225"/>
    </row>
    <row r="84" customFormat="false" ht="13.8" hidden="false" customHeight="false" outlineLevel="0" collapsed="false">
      <c r="A84" s="223" t="s">
        <v>162</v>
      </c>
      <c r="B84" s="122" t="s">
        <v>163</v>
      </c>
      <c r="C84" s="122"/>
      <c r="D84" s="122"/>
      <c r="E84" s="225"/>
    </row>
    <row r="85" customFormat="false" ht="13.8" hidden="false" customHeight="false" outlineLevel="0" collapsed="false">
      <c r="A85" s="226" t="s">
        <v>119</v>
      </c>
      <c r="B85" s="227" t="s">
        <v>120</v>
      </c>
      <c r="C85" s="122"/>
      <c r="D85" s="228" t="s">
        <v>121</v>
      </c>
      <c r="E85" s="229" t="s">
        <v>120</v>
      </c>
    </row>
    <row r="86" customFormat="false" ht="13.8" hidden="false" customHeight="false" outlineLevel="0" collapsed="false">
      <c r="A86" s="223"/>
      <c r="B86" s="122"/>
      <c r="C86" s="122"/>
      <c r="D86" s="122"/>
      <c r="E86" s="225"/>
    </row>
    <row r="87" customFormat="false" ht="13.8" hidden="false" customHeight="false" outlineLevel="0" collapsed="false">
      <c r="A87" s="223" t="s">
        <v>21</v>
      </c>
      <c r="B87" s="245" t="n">
        <f aca="false">B93/2</f>
        <v>11000</v>
      </c>
      <c r="C87" s="122"/>
      <c r="D87" s="227" t="s">
        <v>24</v>
      </c>
      <c r="E87" s="246" t="n">
        <f aca="false">+B95</f>
        <v>0</v>
      </c>
    </row>
    <row r="88" customFormat="false" ht="13.8" hidden="false" customHeight="false" outlineLevel="0" collapsed="false">
      <c r="A88" s="223" t="s">
        <v>10</v>
      </c>
      <c r="B88" s="247" t="n">
        <f aca="false">+B87*50%</f>
        <v>5500</v>
      </c>
      <c r="C88" s="122"/>
      <c r="D88" s="227" t="s">
        <v>25</v>
      </c>
      <c r="E88" s="245" t="n">
        <f aca="false">+IF(B96&gt;0,ROUNDUP((B93)*0.0075,0),0)</f>
        <v>0</v>
      </c>
    </row>
    <row r="89" customFormat="false" ht="13.8" hidden="false" customHeight="false" outlineLevel="0" collapsed="false">
      <c r="A89" s="223" t="s">
        <v>147</v>
      </c>
      <c r="B89" s="247" t="n">
        <v>1600</v>
      </c>
      <c r="C89" s="122"/>
      <c r="D89" s="227" t="s">
        <v>123</v>
      </c>
      <c r="E89" s="225" t="n">
        <v>0</v>
      </c>
    </row>
    <row r="90" customFormat="false" ht="13.8" hidden="false" customHeight="false" outlineLevel="0" collapsed="false">
      <c r="A90" s="223" t="s">
        <v>122</v>
      </c>
      <c r="B90" s="245" t="n">
        <f aca="false">+B87*0.09</f>
        <v>990</v>
      </c>
      <c r="C90" s="122"/>
      <c r="D90" s="227" t="s">
        <v>99</v>
      </c>
      <c r="E90" s="225" t="n">
        <v>0</v>
      </c>
    </row>
    <row r="91" customFormat="false" ht="13.8" hidden="false" customHeight="false" outlineLevel="0" collapsed="false">
      <c r="A91" s="223" t="s">
        <v>148</v>
      </c>
      <c r="B91" s="245" t="n">
        <f aca="false">B93-B87-B88-B89-B90</f>
        <v>2910</v>
      </c>
      <c r="C91" s="122"/>
      <c r="D91" s="227" t="s">
        <v>106</v>
      </c>
      <c r="E91" s="225" t="n">
        <v>0</v>
      </c>
    </row>
    <row r="92" customFormat="false" ht="13.8" hidden="false" customHeight="false" outlineLevel="0" collapsed="false">
      <c r="A92" s="223" t="s">
        <v>106</v>
      </c>
      <c r="B92" s="247" t="n">
        <v>0</v>
      </c>
      <c r="C92" s="122"/>
      <c r="D92" s="227" t="s">
        <v>149</v>
      </c>
      <c r="E92" s="225" t="n">
        <v>0</v>
      </c>
    </row>
    <row r="93" customFormat="false" ht="13.8" hidden="false" customHeight="false" outlineLevel="0" collapsed="false">
      <c r="A93" s="226" t="s">
        <v>150</v>
      </c>
      <c r="B93" s="224" t="n">
        <v>22000</v>
      </c>
      <c r="C93" s="122"/>
      <c r="D93" s="227" t="s">
        <v>151</v>
      </c>
      <c r="E93" s="225" t="n">
        <v>0</v>
      </c>
    </row>
    <row r="94" customFormat="false" ht="13.8" hidden="false" customHeight="false" outlineLevel="0" collapsed="false">
      <c r="A94" s="224" t="s">
        <v>152</v>
      </c>
      <c r="B94" s="230"/>
      <c r="C94" s="122"/>
      <c r="D94" s="122"/>
      <c r="E94" s="225"/>
    </row>
    <row r="95" customFormat="false" ht="13.8" hidden="false" customHeight="false" outlineLevel="0" collapsed="false">
      <c r="A95" s="223" t="s">
        <v>127</v>
      </c>
      <c r="B95" s="248" t="n">
        <v>0</v>
      </c>
      <c r="C95" s="122"/>
      <c r="D95" s="122"/>
      <c r="E95" s="225"/>
    </row>
    <row r="96" customFormat="false" ht="13.8" hidden="false" customHeight="false" outlineLevel="0" collapsed="false">
      <c r="A96" s="223" t="s">
        <v>128</v>
      </c>
      <c r="B96" s="122" t="n">
        <v>0</v>
      </c>
      <c r="C96" s="122"/>
      <c r="D96" s="122"/>
      <c r="E96" s="225"/>
    </row>
    <row r="97" customFormat="false" ht="13.8" hidden="false" customHeight="false" outlineLevel="0" collapsed="false">
      <c r="A97" s="226" t="s">
        <v>153</v>
      </c>
      <c r="B97" s="224" t="n">
        <f aca="false">+B96+B95</f>
        <v>0</v>
      </c>
      <c r="C97" s="122"/>
      <c r="D97" s="122"/>
      <c r="E97" s="225"/>
    </row>
    <row r="98" customFormat="false" ht="13.8" hidden="false" customHeight="false" outlineLevel="0" collapsed="false">
      <c r="A98" s="226" t="s">
        <v>164</v>
      </c>
      <c r="B98" s="122"/>
      <c r="C98" s="122"/>
      <c r="D98" s="122"/>
      <c r="E98" s="225"/>
    </row>
    <row r="99" customFormat="false" ht="13.8" hidden="false" customHeight="false" outlineLevel="0" collapsed="false">
      <c r="A99" s="223" t="s">
        <v>100</v>
      </c>
      <c r="B99" s="247" t="n">
        <f aca="false">B105*30%</f>
        <v>0</v>
      </c>
      <c r="C99" s="122"/>
      <c r="D99" s="122"/>
      <c r="E99" s="225"/>
    </row>
    <row r="100" customFormat="false" ht="13.8" hidden="false" customHeight="false" outlineLevel="0" collapsed="false">
      <c r="A100" s="223" t="s">
        <v>155</v>
      </c>
      <c r="B100" s="247" t="n">
        <f aca="false">B105*20%</f>
        <v>0</v>
      </c>
      <c r="C100" s="122"/>
      <c r="D100" s="122"/>
      <c r="E100" s="225"/>
    </row>
    <row r="101" customFormat="false" ht="13.8" hidden="false" customHeight="false" outlineLevel="0" collapsed="false">
      <c r="A101" s="223" t="s">
        <v>102</v>
      </c>
      <c r="B101" s="247" t="n">
        <f aca="false">B105*20%</f>
        <v>0</v>
      </c>
      <c r="C101" s="122"/>
      <c r="D101" s="122"/>
      <c r="E101" s="225"/>
    </row>
    <row r="102" customFormat="false" ht="13.8" hidden="false" customHeight="false" outlineLevel="0" collapsed="false">
      <c r="A102" s="223" t="s">
        <v>156</v>
      </c>
      <c r="B102" s="247" t="n">
        <f aca="false">B105*20%</f>
        <v>0</v>
      </c>
      <c r="C102" s="122"/>
      <c r="D102" s="122"/>
      <c r="E102" s="225"/>
    </row>
    <row r="103" customFormat="false" ht="13.8" hidden="false" customHeight="false" outlineLevel="0" collapsed="false">
      <c r="A103" s="223" t="s">
        <v>104</v>
      </c>
      <c r="B103" s="247" t="n">
        <f aca="false">B105*10%</f>
        <v>0</v>
      </c>
      <c r="C103" s="122"/>
      <c r="D103" s="122"/>
      <c r="E103" s="225"/>
    </row>
    <row r="104" customFormat="false" ht="13.8" hidden="false" customHeight="false" outlineLevel="0" collapsed="false">
      <c r="A104" s="223" t="s">
        <v>106</v>
      </c>
      <c r="B104" s="247"/>
      <c r="C104" s="122"/>
      <c r="D104" s="122"/>
      <c r="E104" s="225"/>
    </row>
    <row r="105" customFormat="false" ht="13.8" hidden="false" customHeight="false" outlineLevel="0" collapsed="false">
      <c r="A105" s="226" t="s">
        <v>157</v>
      </c>
      <c r="B105" s="224" t="n">
        <v>0</v>
      </c>
      <c r="C105" s="122"/>
      <c r="D105" s="224" t="s">
        <v>158</v>
      </c>
      <c r="E105" s="224" t="n">
        <f aca="false">SUM(E87:E104)</f>
        <v>0</v>
      </c>
    </row>
    <row r="106" customFormat="false" ht="13.8" hidden="false" customHeight="false" outlineLevel="0" collapsed="false">
      <c r="A106" s="226" t="s">
        <v>159</v>
      </c>
      <c r="B106" s="232" t="n">
        <f aca="false">B93+B97+B105</f>
        <v>22000</v>
      </c>
      <c r="C106" s="224"/>
      <c r="D106" s="228" t="s">
        <v>131</v>
      </c>
      <c r="E106" s="233" t="n">
        <f aca="false">B106-B97-E105</f>
        <v>22000</v>
      </c>
    </row>
    <row r="107" customFormat="false" ht="13.8" hidden="false" customHeight="false" outlineLevel="0" collapsed="false">
      <c r="A107" s="223"/>
      <c r="B107" s="122"/>
      <c r="C107" s="122"/>
      <c r="D107" s="122"/>
      <c r="E107" s="225"/>
    </row>
    <row r="108" customFormat="false" ht="13.8" hidden="false" customHeight="false" outlineLevel="0" collapsed="false">
      <c r="A108" s="226" t="s">
        <v>132</v>
      </c>
      <c r="B108" s="224" t="n">
        <f aca="false">+B106*12</f>
        <v>264000</v>
      </c>
      <c r="C108" s="224"/>
      <c r="D108" s="228" t="s">
        <v>133</v>
      </c>
      <c r="E108" s="233" t="n">
        <f aca="false">+E106*12</f>
        <v>264000</v>
      </c>
    </row>
    <row r="109" customFormat="false" ht="13.8" hidden="false" customHeight="false" outlineLevel="0" collapsed="false">
      <c r="A109" s="223"/>
      <c r="B109" s="122"/>
      <c r="C109" s="122"/>
      <c r="D109" s="122"/>
      <c r="E109" s="225"/>
    </row>
    <row r="110" customFormat="false" ht="13.8" hidden="false" customHeight="false" outlineLevel="0" collapsed="false">
      <c r="A110" s="249"/>
      <c r="B110" s="122"/>
      <c r="C110" s="122"/>
      <c r="D110" s="122"/>
      <c r="E110" s="225"/>
    </row>
    <row r="111" customFormat="false" ht="13.8" hidden="false" customHeight="false" outlineLevel="0" collapsed="false">
      <c r="A111" s="249"/>
      <c r="B111" s="122"/>
      <c r="C111" s="122"/>
      <c r="D111" s="122"/>
      <c r="E111" s="225"/>
    </row>
    <row r="112" customFormat="false" ht="13.8" hidden="false" customHeight="false" outlineLevel="0" collapsed="false">
      <c r="A112" s="241"/>
      <c r="B112" s="242"/>
      <c r="C112" s="242"/>
      <c r="D112" s="242"/>
      <c r="E112" s="243"/>
    </row>
    <row r="116" customFormat="false" ht="13.8" hidden="false" customHeight="false" outlineLevel="0" collapsed="false">
      <c r="A116" s="214"/>
      <c r="B116" s="215"/>
      <c r="C116" s="215"/>
      <c r="D116" s="215"/>
      <c r="E116" s="217" t="s">
        <v>143</v>
      </c>
    </row>
    <row r="117" customFormat="false" ht="18.55" hidden="false" customHeight="false" outlineLevel="0" collapsed="false">
      <c r="A117" s="218"/>
      <c r="B117" s="219"/>
      <c r="C117" s="219"/>
      <c r="D117" s="219"/>
      <c r="E117" s="220"/>
    </row>
    <row r="118" customFormat="false" ht="18.55" hidden="false" customHeight="false" outlineLevel="0" collapsed="false">
      <c r="A118" s="244" t="s">
        <v>144</v>
      </c>
      <c r="B118" s="222"/>
      <c r="C118" s="222"/>
      <c r="D118" s="219"/>
      <c r="E118" s="220"/>
    </row>
    <row r="119" customFormat="false" ht="18.55" hidden="false" customHeight="false" outlineLevel="0" collapsed="false">
      <c r="A119" s="218"/>
      <c r="B119" s="222"/>
      <c r="C119" s="222"/>
      <c r="D119" s="219"/>
      <c r="E119" s="220"/>
    </row>
    <row r="120" customFormat="false" ht="13.8" hidden="false" customHeight="false" outlineLevel="0" collapsed="false">
      <c r="A120" s="223" t="s">
        <v>115</v>
      </c>
      <c r="B120" s="224" t="s">
        <v>165</v>
      </c>
      <c r="C120" s="224"/>
      <c r="D120" s="122"/>
      <c r="E120" s="225"/>
    </row>
    <row r="121" customFormat="false" ht="13.8" hidden="false" customHeight="false" outlineLevel="0" collapsed="false">
      <c r="A121" s="223" t="s">
        <v>117</v>
      </c>
      <c r="B121" s="122" t="s">
        <v>112</v>
      </c>
      <c r="C121" s="122"/>
      <c r="D121" s="122"/>
      <c r="E121" s="225"/>
    </row>
    <row r="122" customFormat="false" ht="13.8" hidden="false" customHeight="false" outlineLevel="0" collapsed="false">
      <c r="A122" s="223"/>
      <c r="B122" s="122"/>
      <c r="C122" s="122"/>
      <c r="D122" s="122"/>
      <c r="E122" s="225"/>
    </row>
    <row r="123" customFormat="false" ht="13.8" hidden="false" customHeight="false" outlineLevel="0" collapsed="false">
      <c r="A123" s="226" t="s">
        <v>119</v>
      </c>
      <c r="B123" s="227" t="s">
        <v>120</v>
      </c>
      <c r="C123" s="122"/>
      <c r="D123" s="228" t="s">
        <v>121</v>
      </c>
      <c r="E123" s="229" t="s">
        <v>120</v>
      </c>
    </row>
    <row r="124" customFormat="false" ht="13.8" hidden="false" customHeight="false" outlineLevel="0" collapsed="false">
      <c r="A124" s="223"/>
      <c r="B124" s="122"/>
      <c r="C124" s="122"/>
      <c r="D124" s="122"/>
      <c r="E124" s="225"/>
    </row>
    <row r="125" customFormat="false" ht="13.8" hidden="false" customHeight="false" outlineLevel="0" collapsed="false">
      <c r="A125" s="223" t="s">
        <v>21</v>
      </c>
      <c r="B125" s="245" t="n">
        <f aca="false">B131/2</f>
        <v>7000</v>
      </c>
      <c r="C125" s="122"/>
      <c r="D125" s="227" t="s">
        <v>24</v>
      </c>
      <c r="E125" s="246" t="n">
        <f aca="false">+B133</f>
        <v>1260</v>
      </c>
    </row>
    <row r="126" customFormat="false" ht="13.8" hidden="false" customHeight="false" outlineLevel="0" collapsed="false">
      <c r="A126" s="223" t="s">
        <v>10</v>
      </c>
      <c r="B126" s="247" t="n">
        <f aca="false">+B125*50%</f>
        <v>3500</v>
      </c>
      <c r="C126" s="122"/>
      <c r="D126" s="227" t="s">
        <v>25</v>
      </c>
      <c r="E126" s="245" t="n">
        <f aca="false">+IF(B134&gt;0,ROUNDUP((B131)*0.0075,0),0)</f>
        <v>105</v>
      </c>
    </row>
    <row r="127" customFormat="false" ht="13.8" hidden="false" customHeight="false" outlineLevel="0" collapsed="false">
      <c r="A127" s="223" t="s">
        <v>147</v>
      </c>
      <c r="B127" s="247" t="n">
        <v>1600</v>
      </c>
      <c r="C127" s="122"/>
      <c r="D127" s="227" t="s">
        <v>123</v>
      </c>
      <c r="E127" s="225" t="n">
        <v>0</v>
      </c>
    </row>
    <row r="128" customFormat="false" ht="13.8" hidden="false" customHeight="false" outlineLevel="0" collapsed="false">
      <c r="A128" s="223" t="s">
        <v>122</v>
      </c>
      <c r="B128" s="245" t="n">
        <f aca="false">+B125*0.09</f>
        <v>630</v>
      </c>
      <c r="C128" s="122"/>
      <c r="D128" s="227" t="s">
        <v>99</v>
      </c>
      <c r="E128" s="225" t="n">
        <v>0</v>
      </c>
    </row>
    <row r="129" customFormat="false" ht="13.8" hidden="false" customHeight="false" outlineLevel="0" collapsed="false">
      <c r="A129" s="223" t="s">
        <v>148</v>
      </c>
      <c r="B129" s="245" t="n">
        <f aca="false">B131-B125-B126-B127-B128</f>
        <v>1270</v>
      </c>
      <c r="C129" s="122"/>
      <c r="D129" s="227" t="s">
        <v>106</v>
      </c>
      <c r="E129" s="225" t="n">
        <v>0</v>
      </c>
    </row>
    <row r="130" customFormat="false" ht="13.8" hidden="false" customHeight="false" outlineLevel="0" collapsed="false">
      <c r="A130" s="223" t="s">
        <v>106</v>
      </c>
      <c r="B130" s="247" t="n">
        <v>0</v>
      </c>
      <c r="C130" s="122"/>
      <c r="D130" s="227" t="s">
        <v>149</v>
      </c>
      <c r="E130" s="225" t="n">
        <v>0</v>
      </c>
    </row>
    <row r="131" customFormat="false" ht="13.8" hidden="false" customHeight="false" outlineLevel="0" collapsed="false">
      <c r="A131" s="226" t="s">
        <v>150</v>
      </c>
      <c r="B131" s="224" t="n">
        <v>14000</v>
      </c>
      <c r="C131" s="122"/>
      <c r="D131" s="227" t="s">
        <v>151</v>
      </c>
      <c r="E131" s="225" t="n">
        <v>0</v>
      </c>
    </row>
    <row r="132" customFormat="false" ht="13.8" hidden="false" customHeight="false" outlineLevel="0" collapsed="false">
      <c r="A132" s="224" t="s">
        <v>152</v>
      </c>
      <c r="B132" s="230"/>
      <c r="C132" s="122"/>
      <c r="D132" s="122"/>
      <c r="E132" s="225"/>
    </row>
    <row r="133" customFormat="false" ht="13.8" hidden="false" customHeight="false" outlineLevel="0" collapsed="false">
      <c r="A133" s="223" t="s">
        <v>127</v>
      </c>
      <c r="B133" s="248" t="n">
        <f aca="false">ROUND((B131-B126)*12%,0)</f>
        <v>1260</v>
      </c>
      <c r="C133" s="122"/>
      <c r="D133" s="122"/>
      <c r="E133" s="225"/>
    </row>
    <row r="134" customFormat="false" ht="13.8" hidden="false" customHeight="false" outlineLevel="0" collapsed="false">
      <c r="A134" s="223" t="s">
        <v>128</v>
      </c>
      <c r="B134" s="122" t="n">
        <f aca="false">IF(B130&gt;21000,0,ROUND(B131*0.0325,0))</f>
        <v>455</v>
      </c>
      <c r="C134" s="122"/>
      <c r="D134" s="122"/>
      <c r="E134" s="225"/>
    </row>
    <row r="135" customFormat="false" ht="13.8" hidden="false" customHeight="false" outlineLevel="0" collapsed="false">
      <c r="A135" s="226" t="s">
        <v>153</v>
      </c>
      <c r="B135" s="224" t="n">
        <f aca="false">+B134+B133</f>
        <v>1715</v>
      </c>
      <c r="C135" s="122"/>
      <c r="D135" s="122"/>
      <c r="E135" s="225"/>
    </row>
    <row r="136" customFormat="false" ht="13.8" hidden="false" customHeight="false" outlineLevel="0" collapsed="false">
      <c r="A136" s="226" t="s">
        <v>164</v>
      </c>
      <c r="B136" s="122"/>
      <c r="C136" s="122"/>
      <c r="D136" s="122"/>
      <c r="E136" s="225"/>
    </row>
    <row r="137" customFormat="false" ht="13.8" hidden="false" customHeight="false" outlineLevel="0" collapsed="false">
      <c r="A137" s="223" t="s">
        <v>100</v>
      </c>
      <c r="B137" s="247" t="n">
        <f aca="false">B143*30%</f>
        <v>600</v>
      </c>
      <c r="C137" s="122"/>
      <c r="D137" s="122"/>
      <c r="E137" s="225"/>
    </row>
    <row r="138" customFormat="false" ht="13.8" hidden="false" customHeight="false" outlineLevel="0" collapsed="false">
      <c r="A138" s="223" t="s">
        <v>155</v>
      </c>
      <c r="B138" s="247" t="n">
        <f aca="false">B143*20%</f>
        <v>400</v>
      </c>
      <c r="C138" s="122"/>
      <c r="D138" s="122"/>
      <c r="E138" s="225"/>
    </row>
    <row r="139" customFormat="false" ht="13.8" hidden="false" customHeight="false" outlineLevel="0" collapsed="false">
      <c r="A139" s="223" t="s">
        <v>102</v>
      </c>
      <c r="B139" s="247" t="n">
        <f aca="false">B143*20%</f>
        <v>400</v>
      </c>
      <c r="C139" s="122"/>
      <c r="D139" s="122"/>
      <c r="E139" s="225"/>
    </row>
    <row r="140" customFormat="false" ht="13.8" hidden="false" customHeight="false" outlineLevel="0" collapsed="false">
      <c r="A140" s="223" t="s">
        <v>156</v>
      </c>
      <c r="B140" s="247" t="n">
        <f aca="false">B143*20%</f>
        <v>400</v>
      </c>
      <c r="C140" s="122"/>
      <c r="D140" s="122"/>
      <c r="E140" s="225"/>
    </row>
    <row r="141" customFormat="false" ht="13.8" hidden="false" customHeight="false" outlineLevel="0" collapsed="false">
      <c r="A141" s="223" t="s">
        <v>104</v>
      </c>
      <c r="B141" s="247" t="n">
        <f aca="false">B143*10%</f>
        <v>200</v>
      </c>
      <c r="C141" s="122"/>
      <c r="D141" s="122"/>
      <c r="E141" s="225"/>
    </row>
    <row r="142" customFormat="false" ht="13.8" hidden="false" customHeight="false" outlineLevel="0" collapsed="false">
      <c r="A142" s="223" t="s">
        <v>106</v>
      </c>
      <c r="B142" s="247"/>
      <c r="C142" s="122"/>
      <c r="D142" s="122"/>
      <c r="E142" s="225"/>
    </row>
    <row r="143" customFormat="false" ht="13.8" hidden="false" customHeight="false" outlineLevel="0" collapsed="false">
      <c r="A143" s="226" t="s">
        <v>157</v>
      </c>
      <c r="B143" s="224" t="n">
        <v>2000</v>
      </c>
      <c r="C143" s="122"/>
      <c r="D143" s="224" t="s">
        <v>158</v>
      </c>
      <c r="E143" s="224" t="n">
        <f aca="false">SUM(E125:E142)</f>
        <v>1365</v>
      </c>
    </row>
    <row r="144" customFormat="false" ht="13.8" hidden="false" customHeight="false" outlineLevel="0" collapsed="false">
      <c r="A144" s="226" t="s">
        <v>159</v>
      </c>
      <c r="B144" s="232" t="n">
        <f aca="false">B131+B135+B143</f>
        <v>17715</v>
      </c>
      <c r="C144" s="224"/>
      <c r="D144" s="228" t="s">
        <v>131</v>
      </c>
      <c r="E144" s="233" t="n">
        <f aca="false">B144-B135-E143</f>
        <v>14635</v>
      </c>
    </row>
    <row r="145" customFormat="false" ht="13.8" hidden="false" customHeight="false" outlineLevel="0" collapsed="false">
      <c r="A145" s="223"/>
      <c r="B145" s="122"/>
      <c r="C145" s="122"/>
      <c r="D145" s="122"/>
      <c r="E145" s="225"/>
    </row>
    <row r="146" customFormat="false" ht="13.8" hidden="false" customHeight="false" outlineLevel="0" collapsed="false">
      <c r="A146" s="226" t="s">
        <v>132</v>
      </c>
      <c r="B146" s="224" t="n">
        <f aca="false">+B144*12</f>
        <v>212580</v>
      </c>
      <c r="C146" s="224"/>
      <c r="D146" s="228" t="s">
        <v>133</v>
      </c>
      <c r="E146" s="233" t="n">
        <f aca="false">+E144*12</f>
        <v>175620</v>
      </c>
    </row>
    <row r="147" customFormat="false" ht="13.8" hidden="false" customHeight="false" outlineLevel="0" collapsed="false">
      <c r="A147" s="223"/>
      <c r="B147" s="122"/>
      <c r="C147" s="122"/>
      <c r="D147" s="122"/>
      <c r="E147" s="225"/>
    </row>
    <row r="148" customFormat="false" ht="13.8" hidden="false" customHeight="false" outlineLevel="0" collapsed="false">
      <c r="A148" s="249"/>
      <c r="B148" s="122"/>
      <c r="C148" s="122"/>
      <c r="D148" s="122"/>
      <c r="E148" s="225"/>
    </row>
    <row r="149" customFormat="false" ht="13.8" hidden="false" customHeight="false" outlineLevel="0" collapsed="false">
      <c r="A149" s="249"/>
      <c r="B149" s="122"/>
      <c r="C149" s="122"/>
      <c r="D149" s="122"/>
      <c r="E149" s="225"/>
    </row>
    <row r="150" customFormat="false" ht="13.8" hidden="false" customHeight="false" outlineLevel="0" collapsed="false">
      <c r="A150" s="241"/>
      <c r="B150" s="242"/>
      <c r="C150" s="242"/>
      <c r="D150" s="242"/>
      <c r="E150" s="243"/>
    </row>
    <row r="153" customFormat="false" ht="13.8" hidden="false" customHeight="false" outlineLevel="0" collapsed="false">
      <c r="A153" s="214"/>
      <c r="B153" s="215"/>
      <c r="C153" s="215"/>
      <c r="D153" s="215"/>
      <c r="E153" s="217" t="s">
        <v>143</v>
      </c>
    </row>
    <row r="154" customFormat="false" ht="18.55" hidden="false" customHeight="false" outlineLevel="0" collapsed="false">
      <c r="A154" s="218"/>
      <c r="B154" s="219"/>
      <c r="C154" s="219"/>
      <c r="D154" s="219"/>
      <c r="E154" s="220"/>
    </row>
    <row r="155" customFormat="false" ht="18.55" hidden="false" customHeight="false" outlineLevel="0" collapsed="false">
      <c r="A155" s="244" t="s">
        <v>144</v>
      </c>
      <c r="B155" s="222"/>
      <c r="C155" s="222"/>
      <c r="D155" s="219"/>
      <c r="E155" s="220"/>
    </row>
    <row r="156" customFormat="false" ht="18.55" hidden="false" customHeight="false" outlineLevel="0" collapsed="false">
      <c r="A156" s="218"/>
      <c r="B156" s="222"/>
      <c r="C156" s="222"/>
      <c r="D156" s="219"/>
      <c r="E156" s="220"/>
    </row>
    <row r="157" customFormat="false" ht="13.8" hidden="false" customHeight="false" outlineLevel="0" collapsed="false">
      <c r="A157" s="223" t="s">
        <v>115</v>
      </c>
      <c r="B157" s="224" t="s">
        <v>166</v>
      </c>
      <c r="C157" s="224"/>
      <c r="D157" s="122"/>
      <c r="E157" s="225"/>
    </row>
    <row r="158" customFormat="false" ht="13.8" hidden="false" customHeight="false" outlineLevel="0" collapsed="false">
      <c r="A158" s="223" t="s">
        <v>117</v>
      </c>
      <c r="B158" s="122" t="s">
        <v>167</v>
      </c>
      <c r="C158" s="122"/>
      <c r="D158" s="122"/>
      <c r="E158" s="225"/>
    </row>
    <row r="159" customFormat="false" ht="13.8" hidden="false" customHeight="false" outlineLevel="0" collapsed="false">
      <c r="A159" s="223" t="s">
        <v>162</v>
      </c>
      <c r="B159" s="224" t="s">
        <v>168</v>
      </c>
      <c r="C159" s="122"/>
      <c r="D159" s="122"/>
      <c r="E159" s="225"/>
    </row>
    <row r="160" customFormat="false" ht="13.8" hidden="false" customHeight="false" outlineLevel="0" collapsed="false">
      <c r="A160" s="226" t="s">
        <v>119</v>
      </c>
      <c r="B160" s="227" t="s">
        <v>120</v>
      </c>
      <c r="C160" s="122"/>
      <c r="D160" s="228" t="s">
        <v>121</v>
      </c>
      <c r="E160" s="229" t="s">
        <v>120</v>
      </c>
    </row>
    <row r="161" customFormat="false" ht="13.8" hidden="false" customHeight="false" outlineLevel="0" collapsed="false">
      <c r="A161" s="223"/>
      <c r="B161" s="122"/>
      <c r="C161" s="122"/>
      <c r="D161" s="122"/>
      <c r="E161" s="225"/>
    </row>
    <row r="162" customFormat="false" ht="13.8" hidden="false" customHeight="false" outlineLevel="0" collapsed="false">
      <c r="A162" s="223" t="s">
        <v>21</v>
      </c>
      <c r="B162" s="245" t="n">
        <f aca="false">B168/2</f>
        <v>10550</v>
      </c>
      <c r="C162" s="122"/>
      <c r="D162" s="227" t="s">
        <v>24</v>
      </c>
      <c r="E162" s="246" t="n">
        <f aca="false">+B170</f>
        <v>0</v>
      </c>
    </row>
    <row r="163" customFormat="false" ht="13.8" hidden="false" customHeight="false" outlineLevel="0" collapsed="false">
      <c r="A163" s="223" t="s">
        <v>10</v>
      </c>
      <c r="B163" s="247" t="n">
        <f aca="false">+B162*50%</f>
        <v>5275</v>
      </c>
      <c r="C163" s="122"/>
      <c r="D163" s="227" t="s">
        <v>25</v>
      </c>
      <c r="E163" s="245" t="n">
        <f aca="false">+IF(B171&gt;0,ROUNDUP((B168)*0.0075,0),0)</f>
        <v>0</v>
      </c>
    </row>
    <row r="164" customFormat="false" ht="13.8" hidden="false" customHeight="false" outlineLevel="0" collapsed="false">
      <c r="A164" s="223" t="s">
        <v>147</v>
      </c>
      <c r="B164" s="247" t="n">
        <v>1600</v>
      </c>
      <c r="C164" s="122"/>
      <c r="D164" s="227" t="s">
        <v>123</v>
      </c>
      <c r="E164" s="225" t="n">
        <v>0</v>
      </c>
    </row>
    <row r="165" customFormat="false" ht="13.8" hidden="false" customHeight="false" outlineLevel="0" collapsed="false">
      <c r="A165" s="223" t="s">
        <v>122</v>
      </c>
      <c r="B165" s="245" t="n">
        <f aca="false">+B162*0.09</f>
        <v>949.5</v>
      </c>
      <c r="C165" s="122"/>
      <c r="D165" s="227" t="s">
        <v>99</v>
      </c>
      <c r="E165" s="225" t="n">
        <v>0</v>
      </c>
    </row>
    <row r="166" customFormat="false" ht="13.8" hidden="false" customHeight="false" outlineLevel="0" collapsed="false">
      <c r="A166" s="223" t="s">
        <v>148</v>
      </c>
      <c r="B166" s="245" t="n">
        <f aca="false">B168-B162-B163-B164-B165</f>
        <v>2725.5</v>
      </c>
      <c r="C166" s="122"/>
      <c r="D166" s="227" t="s">
        <v>106</v>
      </c>
      <c r="E166" s="225" t="n">
        <v>0</v>
      </c>
    </row>
    <row r="167" customFormat="false" ht="13.8" hidden="false" customHeight="false" outlineLevel="0" collapsed="false">
      <c r="A167" s="223" t="s">
        <v>106</v>
      </c>
      <c r="B167" s="247" t="n">
        <v>0</v>
      </c>
      <c r="C167" s="122"/>
      <c r="D167" s="227" t="s">
        <v>149</v>
      </c>
      <c r="E167" s="225" t="n">
        <v>0</v>
      </c>
    </row>
    <row r="168" customFormat="false" ht="13.8" hidden="false" customHeight="false" outlineLevel="0" collapsed="false">
      <c r="A168" s="226" t="s">
        <v>150</v>
      </c>
      <c r="B168" s="224" t="n">
        <v>21100</v>
      </c>
      <c r="C168" s="122"/>
      <c r="D168" s="227" t="s">
        <v>151</v>
      </c>
      <c r="E168" s="225" t="n">
        <v>0</v>
      </c>
    </row>
    <row r="169" customFormat="false" ht="13.8" hidden="false" customHeight="false" outlineLevel="0" collapsed="false">
      <c r="A169" s="224" t="s">
        <v>152</v>
      </c>
      <c r="B169" s="230"/>
      <c r="C169" s="122"/>
      <c r="D169" s="122"/>
      <c r="E169" s="225"/>
    </row>
    <row r="170" customFormat="false" ht="13.8" hidden="false" customHeight="false" outlineLevel="0" collapsed="false">
      <c r="A170" s="223" t="s">
        <v>127</v>
      </c>
      <c r="B170" s="248" t="n">
        <v>0</v>
      </c>
      <c r="C170" s="122"/>
      <c r="D170" s="122"/>
      <c r="E170" s="225"/>
    </row>
    <row r="171" customFormat="false" ht="13.8" hidden="false" customHeight="false" outlineLevel="0" collapsed="false">
      <c r="A171" s="223" t="s">
        <v>128</v>
      </c>
      <c r="B171" s="122" t="n">
        <v>0</v>
      </c>
      <c r="C171" s="122"/>
      <c r="D171" s="122"/>
      <c r="E171" s="225"/>
    </row>
    <row r="172" customFormat="false" ht="13.8" hidden="false" customHeight="false" outlineLevel="0" collapsed="false">
      <c r="A172" s="226" t="s">
        <v>153</v>
      </c>
      <c r="B172" s="224" t="n">
        <f aca="false">+B171+B170</f>
        <v>0</v>
      </c>
      <c r="C172" s="122"/>
      <c r="D172" s="122"/>
      <c r="E172" s="225"/>
    </row>
    <row r="173" customFormat="false" ht="13.8" hidden="false" customHeight="false" outlineLevel="0" collapsed="false">
      <c r="A173" s="226" t="s">
        <v>164</v>
      </c>
      <c r="B173" s="122"/>
      <c r="C173" s="122"/>
      <c r="D173" s="122"/>
      <c r="E173" s="225"/>
    </row>
    <row r="174" customFormat="false" ht="13.8" hidden="false" customHeight="false" outlineLevel="0" collapsed="false">
      <c r="A174" s="223" t="s">
        <v>100</v>
      </c>
      <c r="B174" s="247" t="n">
        <f aca="false">B180*30%</f>
        <v>480</v>
      </c>
      <c r="C174" s="122"/>
      <c r="D174" s="122"/>
      <c r="E174" s="225"/>
    </row>
    <row r="175" customFormat="false" ht="13.8" hidden="false" customHeight="false" outlineLevel="0" collapsed="false">
      <c r="A175" s="223" t="s">
        <v>155</v>
      </c>
      <c r="B175" s="247" t="n">
        <f aca="false">B180*20%</f>
        <v>320</v>
      </c>
      <c r="C175" s="122"/>
      <c r="D175" s="122"/>
      <c r="E175" s="225"/>
    </row>
    <row r="176" customFormat="false" ht="13.8" hidden="false" customHeight="false" outlineLevel="0" collapsed="false">
      <c r="A176" s="223" t="s">
        <v>102</v>
      </c>
      <c r="B176" s="247" t="n">
        <f aca="false">B180*20%</f>
        <v>320</v>
      </c>
      <c r="C176" s="122"/>
      <c r="D176" s="122"/>
      <c r="E176" s="225"/>
    </row>
    <row r="177" customFormat="false" ht="13.8" hidden="false" customHeight="false" outlineLevel="0" collapsed="false">
      <c r="A177" s="223" t="s">
        <v>156</v>
      </c>
      <c r="B177" s="247" t="n">
        <f aca="false">B180*20%</f>
        <v>320</v>
      </c>
      <c r="C177" s="122"/>
      <c r="D177" s="122"/>
      <c r="E177" s="225"/>
    </row>
    <row r="178" customFormat="false" ht="13.8" hidden="false" customHeight="false" outlineLevel="0" collapsed="false">
      <c r="A178" s="223" t="s">
        <v>104</v>
      </c>
      <c r="B178" s="247" t="n">
        <f aca="false">B180*10%</f>
        <v>160</v>
      </c>
      <c r="C178" s="122"/>
      <c r="D178" s="122"/>
      <c r="E178" s="225"/>
    </row>
    <row r="179" customFormat="false" ht="13.8" hidden="false" customHeight="false" outlineLevel="0" collapsed="false">
      <c r="A179" s="223" t="s">
        <v>106</v>
      </c>
      <c r="B179" s="247"/>
      <c r="C179" s="122"/>
      <c r="D179" s="122"/>
      <c r="E179" s="225"/>
    </row>
    <row r="180" customFormat="false" ht="13.8" hidden="false" customHeight="false" outlineLevel="0" collapsed="false">
      <c r="A180" s="226" t="s">
        <v>157</v>
      </c>
      <c r="B180" s="224" t="n">
        <v>1600</v>
      </c>
      <c r="C180" s="122"/>
      <c r="D180" s="224" t="s">
        <v>158</v>
      </c>
      <c r="E180" s="224" t="n">
        <f aca="false">SUM(E162:E179)</f>
        <v>0</v>
      </c>
    </row>
    <row r="181" customFormat="false" ht="13.8" hidden="false" customHeight="false" outlineLevel="0" collapsed="false">
      <c r="A181" s="226" t="s">
        <v>159</v>
      </c>
      <c r="B181" s="232" t="n">
        <f aca="false">B168+B172+B180</f>
        <v>22700</v>
      </c>
      <c r="C181" s="224"/>
      <c r="D181" s="228" t="s">
        <v>131</v>
      </c>
      <c r="E181" s="233" t="n">
        <f aca="false">B181-B172-E180</f>
        <v>22700</v>
      </c>
    </row>
    <row r="182" customFormat="false" ht="13.8" hidden="false" customHeight="false" outlineLevel="0" collapsed="false">
      <c r="A182" s="223"/>
      <c r="B182" s="122"/>
      <c r="C182" s="122"/>
      <c r="D182" s="122"/>
      <c r="E182" s="225"/>
    </row>
    <row r="183" customFormat="false" ht="13.8" hidden="false" customHeight="false" outlineLevel="0" collapsed="false">
      <c r="A183" s="226" t="s">
        <v>132</v>
      </c>
      <c r="B183" s="224" t="n">
        <f aca="false">+B181*12</f>
        <v>272400</v>
      </c>
      <c r="C183" s="224"/>
      <c r="D183" s="228" t="s">
        <v>133</v>
      </c>
      <c r="E183" s="233" t="n">
        <f aca="false">+E181*12</f>
        <v>272400</v>
      </c>
    </row>
    <row r="184" customFormat="false" ht="13.8" hidden="false" customHeight="false" outlineLevel="0" collapsed="false">
      <c r="A184" s="223"/>
      <c r="B184" s="122"/>
      <c r="C184" s="122"/>
      <c r="D184" s="122"/>
      <c r="E184" s="225"/>
    </row>
    <row r="185" customFormat="false" ht="13.8" hidden="false" customHeight="false" outlineLevel="0" collapsed="false">
      <c r="A185" s="249"/>
      <c r="B185" s="122"/>
      <c r="C185" s="122"/>
      <c r="D185" s="122"/>
      <c r="E185" s="225"/>
    </row>
    <row r="186" customFormat="false" ht="13.8" hidden="false" customHeight="false" outlineLevel="0" collapsed="false">
      <c r="A186" s="249"/>
      <c r="B186" s="122"/>
      <c r="C186" s="122"/>
      <c r="D186" s="122"/>
      <c r="E186" s="225"/>
    </row>
    <row r="187" customFormat="false" ht="13.8" hidden="false" customHeight="false" outlineLevel="0" collapsed="false">
      <c r="A187" s="241"/>
      <c r="B187" s="242"/>
      <c r="C187" s="242"/>
      <c r="D187" s="242"/>
      <c r="E187" s="243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E104"/>
  <sheetViews>
    <sheetView showFormulas="false" showGridLines="true" showRowColHeaders="true" showZeros="true" rightToLeft="false" tabSelected="false" showOutlineSymbols="true" defaultGridColor="true" view="normal" topLeftCell="A75" colorId="64" zoomScale="100" zoomScaleNormal="100" zoomScalePageLayoutView="100" workbookViewId="0">
      <selection pane="topLeft" activeCell="D100" activeCellId="0" sqref="D100"/>
    </sheetView>
  </sheetViews>
  <sheetFormatPr defaultColWidth="12.625" defaultRowHeight="13.8" zeroHeight="false" outlineLevelRow="0" outlineLevelCol="0"/>
  <cols>
    <col collapsed="false" customWidth="true" hidden="false" outlineLevel="0" max="1" min="1" style="124" width="16.6"/>
    <col collapsed="false" customWidth="true" hidden="false" outlineLevel="0" max="2" min="2" style="124" width="11.48"/>
    <col collapsed="false" customWidth="true" hidden="false" outlineLevel="0" max="3" min="3" style="124" width="9.74"/>
    <col collapsed="false" customWidth="true" hidden="false" outlineLevel="0" max="4" min="4" style="124" width="12.42"/>
    <col collapsed="false" customWidth="true" hidden="false" outlineLevel="0" max="64" min="5" style="124" width="8.61"/>
  </cols>
  <sheetData>
    <row r="3" customFormat="false" ht="13.8" hidden="false" customHeight="false" outlineLevel="0" collapsed="false">
      <c r="A3" s="250"/>
      <c r="B3" s="250"/>
      <c r="C3" s="250"/>
      <c r="D3" s="250"/>
      <c r="E3" s="250"/>
    </row>
    <row r="4" customFormat="false" ht="13.8" hidden="false" customHeight="false" outlineLevel="0" collapsed="false">
      <c r="A4" s="251"/>
      <c r="B4" s="252"/>
      <c r="C4" s="252"/>
      <c r="D4" s="252"/>
      <c r="E4" s="253"/>
    </row>
    <row r="5" customFormat="false" ht="13.8" hidden="false" customHeight="false" outlineLevel="0" collapsed="false">
      <c r="A5" s="254" t="s">
        <v>144</v>
      </c>
      <c r="B5" s="255"/>
      <c r="C5" s="255"/>
      <c r="D5" s="250"/>
      <c r="E5" s="256"/>
    </row>
    <row r="6" customFormat="false" ht="13.8" hidden="false" customHeight="false" outlineLevel="0" collapsed="false">
      <c r="A6" s="257" t="s">
        <v>169</v>
      </c>
      <c r="B6" s="257"/>
      <c r="C6" s="257"/>
      <c r="D6" s="257"/>
      <c r="E6" s="257"/>
    </row>
    <row r="7" customFormat="false" ht="13.8" hidden="false" customHeight="false" outlineLevel="0" collapsed="false">
      <c r="A7" s="258"/>
      <c r="B7" s="259" t="s">
        <v>170</v>
      </c>
      <c r="C7" s="259"/>
      <c r="D7" s="260"/>
      <c r="E7" s="261"/>
    </row>
    <row r="8" customFormat="false" ht="13.8" hidden="false" customHeight="false" outlineLevel="0" collapsed="false">
      <c r="A8" s="258"/>
      <c r="B8" s="250"/>
      <c r="C8" s="260"/>
      <c r="D8" s="260"/>
      <c r="E8" s="261"/>
    </row>
    <row r="9" customFormat="false" ht="13.8" hidden="false" customHeight="false" outlineLevel="0" collapsed="false">
      <c r="A9" s="258" t="s">
        <v>171</v>
      </c>
      <c r="B9" s="262" t="s">
        <v>172</v>
      </c>
      <c r="C9" s="250"/>
      <c r="D9" s="250"/>
      <c r="E9" s="256"/>
    </row>
    <row r="10" customFormat="false" ht="13.8" hidden="false" customHeight="false" outlineLevel="0" collapsed="false">
      <c r="A10" s="258" t="s">
        <v>173</v>
      </c>
      <c r="B10" s="260" t="n">
        <v>31</v>
      </c>
      <c r="C10" s="263" t="s">
        <v>174</v>
      </c>
      <c r="D10" s="260" t="n">
        <v>31</v>
      </c>
      <c r="E10" s="256"/>
    </row>
    <row r="11" customFormat="false" ht="13.8" hidden="false" customHeight="false" outlineLevel="0" collapsed="false">
      <c r="A11" s="258" t="s">
        <v>175</v>
      </c>
      <c r="B11" s="264" t="s">
        <v>176</v>
      </c>
      <c r="C11" s="250"/>
      <c r="D11" s="250"/>
      <c r="E11" s="256"/>
    </row>
    <row r="12" customFormat="false" ht="26.85" hidden="false" customHeight="false" outlineLevel="0" collapsed="false">
      <c r="A12" s="254" t="s">
        <v>119</v>
      </c>
      <c r="B12" s="265" t="s">
        <v>177</v>
      </c>
      <c r="C12" s="255"/>
      <c r="D12" s="266" t="s">
        <v>121</v>
      </c>
      <c r="E12" s="267" t="s">
        <v>177</v>
      </c>
    </row>
    <row r="13" customFormat="false" ht="13.8" hidden="false" customHeight="false" outlineLevel="0" collapsed="false">
      <c r="A13" s="258" t="s">
        <v>21</v>
      </c>
      <c r="B13" s="268" t="n">
        <f aca="false">B19/2</f>
        <v>19144.5</v>
      </c>
      <c r="C13" s="250"/>
      <c r="D13" s="263" t="s">
        <v>24</v>
      </c>
      <c r="E13" s="269" t="n">
        <f aca="false">+B21</f>
        <v>1800</v>
      </c>
    </row>
    <row r="14" customFormat="false" ht="13.8" hidden="false" customHeight="false" outlineLevel="0" collapsed="false">
      <c r="A14" s="258" t="s">
        <v>10</v>
      </c>
      <c r="B14" s="270" t="n">
        <f aca="false">+B13*50%</f>
        <v>9572.25</v>
      </c>
      <c r="C14" s="250"/>
      <c r="D14" s="263" t="s">
        <v>25</v>
      </c>
      <c r="E14" s="269" t="n">
        <v>0</v>
      </c>
    </row>
    <row r="15" customFormat="false" ht="13.8" hidden="false" customHeight="false" outlineLevel="0" collapsed="false">
      <c r="A15" s="258" t="s">
        <v>147</v>
      </c>
      <c r="B15" s="270" t="n">
        <v>1600</v>
      </c>
      <c r="C15" s="250"/>
      <c r="D15" s="263" t="s">
        <v>123</v>
      </c>
      <c r="E15" s="269" t="n">
        <v>0</v>
      </c>
    </row>
    <row r="16" customFormat="false" ht="13.8" hidden="false" customHeight="false" outlineLevel="0" collapsed="false">
      <c r="A16" s="258" t="s">
        <v>122</v>
      </c>
      <c r="B16" s="268" t="n">
        <f aca="false">+B13*0.09</f>
        <v>1723.005</v>
      </c>
      <c r="C16" s="250"/>
      <c r="D16" s="263" t="s">
        <v>99</v>
      </c>
      <c r="E16" s="269" t="n">
        <v>0</v>
      </c>
    </row>
    <row r="17" customFormat="false" ht="13.8" hidden="false" customHeight="false" outlineLevel="0" collapsed="false">
      <c r="A17" s="258" t="s">
        <v>148</v>
      </c>
      <c r="B17" s="268" t="n">
        <f aca="false">B19-B13-B14-B15-B16</f>
        <v>6249.245</v>
      </c>
      <c r="C17" s="250"/>
      <c r="D17" s="263" t="s">
        <v>106</v>
      </c>
      <c r="E17" s="269" t="n">
        <v>0</v>
      </c>
    </row>
    <row r="18" customFormat="false" ht="13.8" hidden="false" customHeight="false" outlineLevel="0" collapsed="false">
      <c r="A18" s="258" t="s">
        <v>106</v>
      </c>
      <c r="B18" s="270" t="n">
        <v>0</v>
      </c>
      <c r="C18" s="250"/>
      <c r="D18" s="263" t="s">
        <v>149</v>
      </c>
      <c r="E18" s="269" t="n">
        <v>0</v>
      </c>
    </row>
    <row r="19" customFormat="false" ht="13.8" hidden="false" customHeight="false" outlineLevel="0" collapsed="false">
      <c r="A19" s="254" t="s">
        <v>150</v>
      </c>
      <c r="B19" s="271" t="n">
        <v>38289</v>
      </c>
      <c r="C19" s="250"/>
      <c r="D19" s="263" t="s">
        <v>151</v>
      </c>
      <c r="E19" s="269" t="n">
        <v>0</v>
      </c>
    </row>
    <row r="20" customFormat="false" ht="13.8" hidden="false" customHeight="false" outlineLevel="0" collapsed="false">
      <c r="A20" s="255" t="s">
        <v>152</v>
      </c>
      <c r="B20" s="271"/>
      <c r="C20" s="250"/>
      <c r="D20" s="250"/>
      <c r="E20" s="269"/>
    </row>
    <row r="21" customFormat="false" ht="13.8" hidden="false" customHeight="false" outlineLevel="0" collapsed="false">
      <c r="A21" s="258" t="s">
        <v>127</v>
      </c>
      <c r="B21" s="272" t="n">
        <v>1800</v>
      </c>
      <c r="C21" s="250"/>
      <c r="D21" s="250"/>
      <c r="E21" s="269"/>
    </row>
    <row r="22" customFormat="false" ht="13.8" hidden="false" customHeight="false" outlineLevel="0" collapsed="false">
      <c r="A22" s="258" t="s">
        <v>128</v>
      </c>
      <c r="B22" s="270" t="n">
        <f aca="false">IF(B18&gt;21000,0,ROUND(B18*0.0325,0))</f>
        <v>0</v>
      </c>
      <c r="C22" s="250"/>
      <c r="D22" s="250"/>
      <c r="E22" s="269"/>
    </row>
    <row r="23" customFormat="false" ht="13.8" hidden="false" customHeight="false" outlineLevel="0" collapsed="false">
      <c r="A23" s="254" t="s">
        <v>153</v>
      </c>
      <c r="B23" s="271" t="n">
        <f aca="false">+B22+B21</f>
        <v>1800</v>
      </c>
      <c r="C23" s="250"/>
      <c r="D23" s="250"/>
      <c r="E23" s="269"/>
    </row>
    <row r="24" customFormat="false" ht="13.8" hidden="false" customHeight="false" outlineLevel="0" collapsed="false">
      <c r="A24" s="254" t="s">
        <v>154</v>
      </c>
      <c r="B24" s="270"/>
      <c r="C24" s="250"/>
      <c r="D24" s="250"/>
      <c r="E24" s="269"/>
    </row>
    <row r="25" customFormat="false" ht="13.8" hidden="false" customHeight="false" outlineLevel="0" collapsed="false">
      <c r="A25" s="258" t="s">
        <v>100</v>
      </c>
      <c r="B25" s="270" t="n">
        <f aca="false">B31*30%</f>
        <v>1950</v>
      </c>
      <c r="C25" s="250"/>
      <c r="D25" s="250"/>
      <c r="E25" s="269"/>
    </row>
    <row r="26" customFormat="false" ht="13.8" hidden="false" customHeight="false" outlineLevel="0" collapsed="false">
      <c r="A26" s="258" t="s">
        <v>155</v>
      </c>
      <c r="B26" s="270" t="n">
        <f aca="false">B31*20%</f>
        <v>1300</v>
      </c>
      <c r="C26" s="250"/>
      <c r="D26" s="250"/>
      <c r="E26" s="269"/>
    </row>
    <row r="27" customFormat="false" ht="13.8" hidden="false" customHeight="false" outlineLevel="0" collapsed="false">
      <c r="A27" s="258" t="s">
        <v>102</v>
      </c>
      <c r="B27" s="270" t="n">
        <f aca="false">B31*20%</f>
        <v>1300</v>
      </c>
      <c r="C27" s="250"/>
      <c r="D27" s="250"/>
      <c r="E27" s="269"/>
    </row>
    <row r="28" customFormat="false" ht="13.8" hidden="false" customHeight="false" outlineLevel="0" collapsed="false">
      <c r="A28" s="258" t="s">
        <v>156</v>
      </c>
      <c r="B28" s="270" t="n">
        <f aca="false">B31*20%</f>
        <v>1300</v>
      </c>
      <c r="C28" s="250"/>
      <c r="D28" s="250"/>
      <c r="E28" s="269"/>
    </row>
    <row r="29" customFormat="false" ht="13.8" hidden="false" customHeight="false" outlineLevel="0" collapsed="false">
      <c r="A29" s="258" t="s">
        <v>104</v>
      </c>
      <c r="B29" s="270" t="n">
        <f aca="false">B31*10%</f>
        <v>650</v>
      </c>
      <c r="C29" s="250"/>
      <c r="D29" s="250"/>
      <c r="E29" s="269"/>
    </row>
    <row r="30" customFormat="false" ht="13.8" hidden="false" customHeight="false" outlineLevel="0" collapsed="false">
      <c r="A30" s="258" t="s">
        <v>106</v>
      </c>
      <c r="B30" s="270"/>
      <c r="C30" s="250"/>
      <c r="D30" s="250"/>
      <c r="E30" s="269"/>
    </row>
    <row r="31" customFormat="false" ht="13.8" hidden="false" customHeight="false" outlineLevel="0" collapsed="false">
      <c r="A31" s="254" t="s">
        <v>157</v>
      </c>
      <c r="B31" s="271" t="n">
        <v>6500</v>
      </c>
      <c r="C31" s="260" t="n">
        <f aca="false">SUM(B25:B30)-B31</f>
        <v>0</v>
      </c>
      <c r="D31" s="255" t="s">
        <v>158</v>
      </c>
      <c r="E31" s="271" t="n">
        <f aca="false">SUM(E13:E30)</f>
        <v>1800</v>
      </c>
    </row>
    <row r="32" customFormat="false" ht="13.8" hidden="false" customHeight="false" outlineLevel="0" collapsed="false">
      <c r="A32" s="254" t="s">
        <v>178</v>
      </c>
      <c r="B32" s="271" t="n">
        <f aca="false">B19+B23+B31</f>
        <v>46589</v>
      </c>
      <c r="C32" s="255"/>
      <c r="D32" s="266" t="s">
        <v>179</v>
      </c>
      <c r="E32" s="273" t="n">
        <f aca="false">+B19-E19</f>
        <v>38289</v>
      </c>
    </row>
    <row r="33" customFormat="false" ht="13.8" hidden="false" customHeight="false" outlineLevel="0" collapsed="false">
      <c r="A33" s="258"/>
      <c r="B33" s="250"/>
      <c r="C33" s="250"/>
      <c r="D33" s="250"/>
      <c r="E33" s="256"/>
    </row>
    <row r="34" customFormat="false" ht="13.8" hidden="false" customHeight="false" outlineLevel="0" collapsed="false">
      <c r="A34" s="254"/>
      <c r="B34" s="255"/>
      <c r="C34" s="255"/>
      <c r="D34" s="266"/>
      <c r="E34" s="274"/>
    </row>
    <row r="35" customFormat="false" ht="13.8" hidden="false" customHeight="false" outlineLevel="0" collapsed="false">
      <c r="A35" s="275"/>
      <c r="B35" s="276"/>
      <c r="C35" s="276"/>
      <c r="D35" s="276"/>
      <c r="E35" s="277"/>
    </row>
    <row r="36" customFormat="false" ht="13.8" hidden="false" customHeight="false" outlineLevel="0" collapsed="false">
      <c r="A36" s="250"/>
      <c r="B36" s="250"/>
      <c r="C36" s="250"/>
      <c r="D36" s="250"/>
      <c r="E36" s="250"/>
    </row>
    <row r="38" customFormat="false" ht="13.8" hidden="false" customHeight="false" outlineLevel="0" collapsed="false">
      <c r="A38" s="250"/>
      <c r="B38" s="250"/>
      <c r="C38" s="250"/>
      <c r="D38" s="250"/>
      <c r="E38" s="250"/>
    </row>
    <row r="39" customFormat="false" ht="13.8" hidden="false" customHeight="false" outlineLevel="0" collapsed="false">
      <c r="A39" s="251"/>
      <c r="B39" s="252"/>
      <c r="C39" s="252"/>
      <c r="D39" s="252"/>
      <c r="E39" s="253"/>
    </row>
    <row r="40" customFormat="false" ht="13.8" hidden="false" customHeight="false" outlineLevel="0" collapsed="false">
      <c r="A40" s="254" t="s">
        <v>144</v>
      </c>
      <c r="B40" s="255"/>
      <c r="C40" s="255"/>
      <c r="D40" s="250"/>
      <c r="E40" s="256"/>
    </row>
    <row r="41" customFormat="false" ht="13.8" hidden="false" customHeight="false" outlineLevel="0" collapsed="false">
      <c r="A41" s="257" t="s">
        <v>180</v>
      </c>
      <c r="B41" s="257"/>
      <c r="C41" s="257"/>
      <c r="D41" s="257"/>
      <c r="E41" s="257"/>
    </row>
    <row r="42" customFormat="false" ht="13.8" hidden="false" customHeight="false" outlineLevel="0" collapsed="false">
      <c r="A42" s="258"/>
      <c r="B42" s="259" t="s">
        <v>170</v>
      </c>
      <c r="C42" s="259"/>
      <c r="D42" s="260"/>
      <c r="E42" s="261"/>
    </row>
    <row r="43" customFormat="false" ht="13.8" hidden="false" customHeight="false" outlineLevel="0" collapsed="false">
      <c r="A43" s="258"/>
      <c r="B43" s="250"/>
      <c r="C43" s="260"/>
      <c r="D43" s="260"/>
      <c r="E43" s="261"/>
    </row>
    <row r="44" customFormat="false" ht="13.8" hidden="false" customHeight="false" outlineLevel="0" collapsed="false">
      <c r="A44" s="258" t="s">
        <v>171</v>
      </c>
      <c r="B44" s="262" t="s">
        <v>61</v>
      </c>
      <c r="C44" s="250"/>
      <c r="D44" s="250"/>
      <c r="E44" s="256"/>
    </row>
    <row r="45" customFormat="false" ht="13.8" hidden="false" customHeight="false" outlineLevel="0" collapsed="false">
      <c r="A45" s="258" t="s">
        <v>173</v>
      </c>
      <c r="B45" s="260" t="n">
        <v>25.5</v>
      </c>
      <c r="C45" s="263" t="s">
        <v>174</v>
      </c>
      <c r="D45" s="260" t="n">
        <v>30</v>
      </c>
      <c r="E45" s="256"/>
    </row>
    <row r="46" customFormat="false" ht="13.8" hidden="false" customHeight="false" outlineLevel="0" collapsed="false">
      <c r="A46" s="258" t="s">
        <v>175</v>
      </c>
      <c r="B46" s="264" t="s">
        <v>168</v>
      </c>
      <c r="C46" s="250"/>
      <c r="D46" s="250"/>
      <c r="E46" s="256"/>
    </row>
    <row r="47" customFormat="false" ht="26.85" hidden="false" customHeight="false" outlineLevel="0" collapsed="false">
      <c r="A47" s="254" t="s">
        <v>119</v>
      </c>
      <c r="B47" s="265" t="s">
        <v>177</v>
      </c>
      <c r="C47" s="255"/>
      <c r="D47" s="266" t="s">
        <v>121</v>
      </c>
      <c r="E47" s="267" t="s">
        <v>177</v>
      </c>
    </row>
    <row r="48" customFormat="false" ht="13.8" hidden="false" customHeight="false" outlineLevel="0" collapsed="false">
      <c r="A48" s="258" t="s">
        <v>21</v>
      </c>
      <c r="B48" s="268" t="n">
        <f aca="false">B54/2</f>
        <v>9077</v>
      </c>
      <c r="C48" s="250"/>
      <c r="D48" s="263" t="s">
        <v>24</v>
      </c>
      <c r="E48" s="269" t="n">
        <f aca="false">+B56</f>
        <v>1634</v>
      </c>
    </row>
    <row r="49" customFormat="false" ht="13.8" hidden="false" customHeight="false" outlineLevel="0" collapsed="false">
      <c r="A49" s="258" t="s">
        <v>10</v>
      </c>
      <c r="B49" s="270" t="n">
        <f aca="false">+B48*50%</f>
        <v>4538.5</v>
      </c>
      <c r="C49" s="250"/>
      <c r="D49" s="263" t="s">
        <v>25</v>
      </c>
      <c r="E49" s="269" t="n">
        <v>0</v>
      </c>
    </row>
    <row r="50" customFormat="false" ht="13.8" hidden="false" customHeight="false" outlineLevel="0" collapsed="false">
      <c r="A50" s="258" t="s">
        <v>147</v>
      </c>
      <c r="B50" s="270" t="n">
        <v>1600</v>
      </c>
      <c r="C50" s="250"/>
      <c r="D50" s="263" t="s">
        <v>123</v>
      </c>
      <c r="E50" s="269" t="n">
        <v>0</v>
      </c>
    </row>
    <row r="51" customFormat="false" ht="13.8" hidden="false" customHeight="false" outlineLevel="0" collapsed="false">
      <c r="A51" s="258" t="s">
        <v>122</v>
      </c>
      <c r="B51" s="268" t="n">
        <f aca="false">+B48*0.09</f>
        <v>816.93</v>
      </c>
      <c r="C51" s="250"/>
      <c r="D51" s="263" t="s">
        <v>99</v>
      </c>
      <c r="E51" s="269" t="n">
        <v>0</v>
      </c>
    </row>
    <row r="52" customFormat="false" ht="13.8" hidden="false" customHeight="false" outlineLevel="0" collapsed="false">
      <c r="A52" s="258" t="s">
        <v>148</v>
      </c>
      <c r="B52" s="268" t="n">
        <f aca="false">B54-B48-B49-B50-B51</f>
        <v>2121.57</v>
      </c>
      <c r="C52" s="250"/>
      <c r="D52" s="263" t="s">
        <v>106</v>
      </c>
      <c r="E52" s="269" t="n">
        <v>0</v>
      </c>
    </row>
    <row r="53" customFormat="false" ht="13.8" hidden="false" customHeight="false" outlineLevel="0" collapsed="false">
      <c r="A53" s="258" t="s">
        <v>106</v>
      </c>
      <c r="B53" s="270" t="n">
        <v>0</v>
      </c>
      <c r="C53" s="250"/>
      <c r="D53" s="263" t="s">
        <v>149</v>
      </c>
      <c r="E53" s="269" t="n">
        <v>0</v>
      </c>
    </row>
    <row r="54" customFormat="false" ht="13.8" hidden="false" customHeight="false" outlineLevel="0" collapsed="false">
      <c r="A54" s="254" t="s">
        <v>150</v>
      </c>
      <c r="B54" s="271" t="n">
        <v>18154</v>
      </c>
      <c r="C54" s="250"/>
      <c r="D54" s="263" t="s">
        <v>151</v>
      </c>
      <c r="E54" s="269" t="n">
        <v>0</v>
      </c>
    </row>
    <row r="55" customFormat="false" ht="13.8" hidden="false" customHeight="false" outlineLevel="0" collapsed="false">
      <c r="A55" s="255" t="s">
        <v>152</v>
      </c>
      <c r="B55" s="271"/>
      <c r="C55" s="250"/>
      <c r="D55" s="250"/>
      <c r="E55" s="269"/>
    </row>
    <row r="56" customFormat="false" ht="13.8" hidden="false" customHeight="false" outlineLevel="0" collapsed="false">
      <c r="A56" s="258" t="s">
        <v>127</v>
      </c>
      <c r="B56" s="272" t="n">
        <v>1634</v>
      </c>
      <c r="C56" s="250"/>
      <c r="D56" s="250"/>
      <c r="E56" s="269"/>
    </row>
    <row r="57" customFormat="false" ht="13.8" hidden="false" customHeight="false" outlineLevel="0" collapsed="false">
      <c r="A57" s="258" t="s">
        <v>128</v>
      </c>
      <c r="B57" s="270" t="n">
        <f aca="false">IF(B53&gt;21000,0,ROUND(B53*0.0325,0))</f>
        <v>0</v>
      </c>
      <c r="C57" s="250"/>
      <c r="D57" s="250"/>
      <c r="E57" s="269"/>
    </row>
    <row r="58" customFormat="false" ht="13.8" hidden="false" customHeight="false" outlineLevel="0" collapsed="false">
      <c r="A58" s="254" t="s">
        <v>153</v>
      </c>
      <c r="B58" s="271" t="n">
        <f aca="false">+B57+B56</f>
        <v>1634</v>
      </c>
      <c r="C58" s="250"/>
      <c r="D58" s="250"/>
      <c r="E58" s="269"/>
    </row>
    <row r="59" customFormat="false" ht="13.8" hidden="false" customHeight="false" outlineLevel="0" collapsed="false">
      <c r="A59" s="254" t="s">
        <v>154</v>
      </c>
      <c r="B59" s="270"/>
      <c r="C59" s="250"/>
      <c r="D59" s="250"/>
      <c r="E59" s="269"/>
    </row>
    <row r="60" customFormat="false" ht="13.8" hidden="false" customHeight="false" outlineLevel="0" collapsed="false">
      <c r="A60" s="258" t="s">
        <v>100</v>
      </c>
      <c r="B60" s="270" t="n">
        <f aca="false">B66*30%</f>
        <v>0</v>
      </c>
      <c r="C60" s="250"/>
      <c r="D60" s="250"/>
      <c r="E60" s="269"/>
    </row>
    <row r="61" customFormat="false" ht="13.8" hidden="false" customHeight="false" outlineLevel="0" collapsed="false">
      <c r="A61" s="258" t="s">
        <v>155</v>
      </c>
      <c r="B61" s="270" t="n">
        <f aca="false">B66*20%</f>
        <v>0</v>
      </c>
      <c r="C61" s="250"/>
      <c r="D61" s="250"/>
      <c r="E61" s="269"/>
    </row>
    <row r="62" customFormat="false" ht="13.8" hidden="false" customHeight="false" outlineLevel="0" collapsed="false">
      <c r="A62" s="258" t="s">
        <v>102</v>
      </c>
      <c r="B62" s="270" t="n">
        <f aca="false">B66*20%</f>
        <v>0</v>
      </c>
      <c r="C62" s="250"/>
      <c r="D62" s="250"/>
      <c r="E62" s="269"/>
    </row>
    <row r="63" customFormat="false" ht="13.8" hidden="false" customHeight="false" outlineLevel="0" collapsed="false">
      <c r="A63" s="258" t="s">
        <v>156</v>
      </c>
      <c r="B63" s="270" t="n">
        <f aca="false">B66*20%</f>
        <v>0</v>
      </c>
      <c r="C63" s="250"/>
      <c r="D63" s="250"/>
      <c r="E63" s="269"/>
    </row>
    <row r="64" customFormat="false" ht="13.8" hidden="false" customHeight="false" outlineLevel="0" collapsed="false">
      <c r="A64" s="258" t="s">
        <v>104</v>
      </c>
      <c r="B64" s="270" t="n">
        <f aca="false">B66*10%</f>
        <v>0</v>
      </c>
      <c r="C64" s="250"/>
      <c r="D64" s="250"/>
      <c r="E64" s="269"/>
    </row>
    <row r="65" customFormat="false" ht="13.8" hidden="false" customHeight="false" outlineLevel="0" collapsed="false">
      <c r="A65" s="258" t="s">
        <v>106</v>
      </c>
      <c r="B65" s="270"/>
      <c r="C65" s="250"/>
      <c r="D65" s="250"/>
      <c r="E65" s="269"/>
    </row>
    <row r="66" customFormat="false" ht="13.8" hidden="false" customHeight="false" outlineLevel="0" collapsed="false">
      <c r="A66" s="254" t="s">
        <v>157</v>
      </c>
      <c r="B66" s="271" t="n">
        <v>0</v>
      </c>
      <c r="C66" s="260" t="n">
        <f aca="false">SUM(B60:B65)-B66</f>
        <v>0</v>
      </c>
      <c r="D66" s="255" t="s">
        <v>158</v>
      </c>
      <c r="E66" s="271" t="n">
        <f aca="false">SUM(E48:E65)</f>
        <v>1634</v>
      </c>
    </row>
    <row r="67" customFormat="false" ht="13.8" hidden="false" customHeight="false" outlineLevel="0" collapsed="false">
      <c r="A67" s="254" t="s">
        <v>178</v>
      </c>
      <c r="B67" s="271" t="n">
        <f aca="false">B54+B58+B66</f>
        <v>19788</v>
      </c>
      <c r="C67" s="255"/>
      <c r="D67" s="266" t="s">
        <v>179</v>
      </c>
      <c r="E67" s="273" t="n">
        <f aca="false">B67-B58-E66</f>
        <v>16520</v>
      </c>
    </row>
    <row r="68" customFormat="false" ht="13.8" hidden="false" customHeight="false" outlineLevel="0" collapsed="false">
      <c r="A68" s="258"/>
      <c r="B68" s="250"/>
      <c r="C68" s="250"/>
      <c r="D68" s="250"/>
      <c r="E68" s="256"/>
    </row>
    <row r="69" customFormat="false" ht="13.8" hidden="false" customHeight="false" outlineLevel="0" collapsed="false">
      <c r="A69" s="254"/>
      <c r="B69" s="255"/>
      <c r="C69" s="255"/>
      <c r="D69" s="266"/>
      <c r="E69" s="274"/>
    </row>
    <row r="70" customFormat="false" ht="13.8" hidden="false" customHeight="false" outlineLevel="0" collapsed="false">
      <c r="A70" s="275"/>
      <c r="B70" s="276"/>
      <c r="C70" s="276"/>
      <c r="D70" s="276"/>
      <c r="E70" s="277"/>
    </row>
    <row r="72" customFormat="false" ht="13.8" hidden="false" customHeight="false" outlineLevel="0" collapsed="false">
      <c r="A72" s="250"/>
      <c r="B72" s="250"/>
      <c r="C72" s="250"/>
      <c r="D72" s="250"/>
      <c r="E72" s="250"/>
    </row>
    <row r="73" customFormat="false" ht="13.8" hidden="false" customHeight="false" outlineLevel="0" collapsed="false">
      <c r="A73" s="251"/>
      <c r="B73" s="252"/>
      <c r="C73" s="252"/>
      <c r="D73" s="252"/>
      <c r="E73" s="253"/>
    </row>
    <row r="74" customFormat="false" ht="13.8" hidden="false" customHeight="false" outlineLevel="0" collapsed="false">
      <c r="A74" s="254" t="s">
        <v>144</v>
      </c>
      <c r="B74" s="255"/>
      <c r="C74" s="255"/>
      <c r="D74" s="250"/>
      <c r="E74" s="256"/>
    </row>
    <row r="75" customFormat="false" ht="13.8" hidden="false" customHeight="false" outlineLevel="0" collapsed="false">
      <c r="A75" s="257" t="s">
        <v>180</v>
      </c>
      <c r="B75" s="257"/>
      <c r="C75" s="257"/>
      <c r="D75" s="257"/>
      <c r="E75" s="257"/>
    </row>
    <row r="76" customFormat="false" ht="13.8" hidden="false" customHeight="false" outlineLevel="0" collapsed="false">
      <c r="A76" s="258"/>
      <c r="B76" s="259" t="s">
        <v>170</v>
      </c>
      <c r="C76" s="259"/>
      <c r="D76" s="260"/>
      <c r="E76" s="261"/>
    </row>
    <row r="77" customFormat="false" ht="13.8" hidden="false" customHeight="false" outlineLevel="0" collapsed="false">
      <c r="A77" s="258"/>
      <c r="B77" s="250"/>
      <c r="C77" s="260"/>
      <c r="D77" s="260"/>
      <c r="E77" s="261"/>
    </row>
    <row r="78" customFormat="false" ht="13.8" hidden="false" customHeight="false" outlineLevel="0" collapsed="false">
      <c r="A78" s="258" t="s">
        <v>171</v>
      </c>
      <c r="B78" s="262" t="s">
        <v>77</v>
      </c>
      <c r="C78" s="250"/>
      <c r="D78" s="250"/>
      <c r="E78" s="256"/>
    </row>
    <row r="79" customFormat="false" ht="13.8" hidden="false" customHeight="false" outlineLevel="0" collapsed="false">
      <c r="A79" s="258" t="s">
        <v>173</v>
      </c>
      <c r="B79" s="260" t="n">
        <v>25.5</v>
      </c>
      <c r="C79" s="263" t="s">
        <v>174</v>
      </c>
      <c r="D79" s="260" t="n">
        <v>30</v>
      </c>
      <c r="E79" s="256"/>
    </row>
    <row r="80" customFormat="false" ht="13.8" hidden="false" customHeight="false" outlineLevel="0" collapsed="false">
      <c r="A80" s="258" t="s">
        <v>175</v>
      </c>
      <c r="B80" s="264" t="s">
        <v>181</v>
      </c>
      <c r="C80" s="250"/>
      <c r="D80" s="250"/>
      <c r="E80" s="256"/>
    </row>
    <row r="81" customFormat="false" ht="26.85" hidden="false" customHeight="false" outlineLevel="0" collapsed="false">
      <c r="A81" s="254" t="s">
        <v>119</v>
      </c>
      <c r="B81" s="265" t="s">
        <v>177</v>
      </c>
      <c r="C81" s="255"/>
      <c r="D81" s="266" t="s">
        <v>121</v>
      </c>
      <c r="E81" s="267" t="s">
        <v>177</v>
      </c>
    </row>
    <row r="82" customFormat="false" ht="13.8" hidden="false" customHeight="false" outlineLevel="0" collapsed="false">
      <c r="A82" s="258" t="s">
        <v>21</v>
      </c>
      <c r="B82" s="268" t="n">
        <f aca="false">B88/2</f>
        <v>16234.5</v>
      </c>
      <c r="C82" s="250"/>
      <c r="D82" s="263" t="s">
        <v>24</v>
      </c>
      <c r="E82" s="269" t="n">
        <f aca="false">+B90</f>
        <v>1800</v>
      </c>
    </row>
    <row r="83" customFormat="false" ht="13.8" hidden="false" customHeight="false" outlineLevel="0" collapsed="false">
      <c r="A83" s="258" t="s">
        <v>10</v>
      </c>
      <c r="B83" s="270" t="n">
        <f aca="false">+B82*50%</f>
        <v>8117.25</v>
      </c>
      <c r="C83" s="250"/>
      <c r="D83" s="263" t="s">
        <v>25</v>
      </c>
      <c r="E83" s="269" t="n">
        <v>0</v>
      </c>
    </row>
    <row r="84" customFormat="false" ht="13.8" hidden="false" customHeight="false" outlineLevel="0" collapsed="false">
      <c r="A84" s="258" t="s">
        <v>147</v>
      </c>
      <c r="B84" s="270" t="n">
        <v>1600</v>
      </c>
      <c r="C84" s="250"/>
      <c r="D84" s="263" t="s">
        <v>123</v>
      </c>
      <c r="E84" s="269" t="n">
        <v>0</v>
      </c>
    </row>
    <row r="85" customFormat="false" ht="13.8" hidden="false" customHeight="false" outlineLevel="0" collapsed="false">
      <c r="A85" s="258" t="s">
        <v>122</v>
      </c>
      <c r="B85" s="268" t="n">
        <f aca="false">+B82*0.09</f>
        <v>1461.105</v>
      </c>
      <c r="C85" s="250"/>
      <c r="D85" s="263" t="s">
        <v>99</v>
      </c>
      <c r="E85" s="269" t="n">
        <v>0</v>
      </c>
    </row>
    <row r="86" customFormat="false" ht="13.8" hidden="false" customHeight="false" outlineLevel="0" collapsed="false">
      <c r="A86" s="258" t="s">
        <v>148</v>
      </c>
      <c r="B86" s="268" t="n">
        <f aca="false">B88-B82-B83-B84-B85</f>
        <v>5056.145</v>
      </c>
      <c r="C86" s="250"/>
      <c r="D86" s="263" t="s">
        <v>106</v>
      </c>
      <c r="E86" s="269" t="n">
        <v>0</v>
      </c>
    </row>
    <row r="87" customFormat="false" ht="13.8" hidden="false" customHeight="false" outlineLevel="0" collapsed="false">
      <c r="A87" s="258" t="s">
        <v>106</v>
      </c>
      <c r="B87" s="270" t="n">
        <v>0</v>
      </c>
      <c r="C87" s="250"/>
      <c r="D87" s="263" t="s">
        <v>149</v>
      </c>
      <c r="E87" s="269" t="n">
        <v>0</v>
      </c>
    </row>
    <row r="88" customFormat="false" ht="13.8" hidden="false" customHeight="false" outlineLevel="0" collapsed="false">
      <c r="A88" s="254" t="s">
        <v>150</v>
      </c>
      <c r="B88" s="271" t="n">
        <v>32469</v>
      </c>
      <c r="C88" s="250"/>
      <c r="D88" s="263" t="s">
        <v>151</v>
      </c>
      <c r="E88" s="269" t="n">
        <v>0</v>
      </c>
    </row>
    <row r="89" customFormat="false" ht="13.8" hidden="false" customHeight="false" outlineLevel="0" collapsed="false">
      <c r="A89" s="255" t="s">
        <v>152</v>
      </c>
      <c r="B89" s="271"/>
      <c r="C89" s="250"/>
      <c r="D89" s="250"/>
      <c r="E89" s="269"/>
    </row>
    <row r="90" customFormat="false" ht="13.8" hidden="false" customHeight="false" outlineLevel="0" collapsed="false">
      <c r="A90" s="258" t="s">
        <v>127</v>
      </c>
      <c r="B90" s="272" t="n">
        <v>1800</v>
      </c>
      <c r="C90" s="250"/>
      <c r="D90" s="250"/>
      <c r="E90" s="269"/>
    </row>
    <row r="91" customFormat="false" ht="13.8" hidden="false" customHeight="false" outlineLevel="0" collapsed="false">
      <c r="A91" s="258" t="s">
        <v>128</v>
      </c>
      <c r="B91" s="270" t="n">
        <f aca="false">IF(B87&gt;21000,0,ROUND(B87*0.0325,0))</f>
        <v>0</v>
      </c>
      <c r="C91" s="250"/>
      <c r="D91" s="250"/>
      <c r="E91" s="269"/>
    </row>
    <row r="92" customFormat="false" ht="13.8" hidden="false" customHeight="false" outlineLevel="0" collapsed="false">
      <c r="A92" s="254" t="s">
        <v>153</v>
      </c>
      <c r="B92" s="271" t="n">
        <f aca="false">+B91+B90</f>
        <v>1800</v>
      </c>
      <c r="C92" s="250"/>
      <c r="D92" s="250"/>
      <c r="E92" s="269"/>
    </row>
    <row r="93" customFormat="false" ht="13.8" hidden="false" customHeight="false" outlineLevel="0" collapsed="false">
      <c r="A93" s="254" t="s">
        <v>154</v>
      </c>
      <c r="B93" s="270"/>
      <c r="C93" s="250"/>
      <c r="D93" s="250"/>
      <c r="E93" s="269"/>
    </row>
    <row r="94" customFormat="false" ht="13.8" hidden="false" customHeight="false" outlineLevel="0" collapsed="false">
      <c r="A94" s="258" t="s">
        <v>100</v>
      </c>
      <c r="B94" s="270" t="n">
        <f aca="false">B100*30%</f>
        <v>1785</v>
      </c>
      <c r="C94" s="250"/>
      <c r="D94" s="250"/>
      <c r="E94" s="269"/>
    </row>
    <row r="95" customFormat="false" ht="13.8" hidden="false" customHeight="false" outlineLevel="0" collapsed="false">
      <c r="A95" s="258" t="s">
        <v>155</v>
      </c>
      <c r="B95" s="270" t="n">
        <f aca="false">B100*20%</f>
        <v>1190</v>
      </c>
      <c r="C95" s="250"/>
      <c r="D95" s="250"/>
      <c r="E95" s="269"/>
    </row>
    <row r="96" customFormat="false" ht="13.8" hidden="false" customHeight="false" outlineLevel="0" collapsed="false">
      <c r="A96" s="258" t="s">
        <v>102</v>
      </c>
      <c r="B96" s="270" t="n">
        <f aca="false">B100*20%</f>
        <v>1190</v>
      </c>
      <c r="C96" s="250"/>
      <c r="D96" s="250"/>
      <c r="E96" s="269"/>
    </row>
    <row r="97" customFormat="false" ht="13.8" hidden="false" customHeight="false" outlineLevel="0" collapsed="false">
      <c r="A97" s="258" t="s">
        <v>156</v>
      </c>
      <c r="B97" s="270" t="n">
        <f aca="false">B100*20%</f>
        <v>1190</v>
      </c>
      <c r="C97" s="250"/>
      <c r="D97" s="250"/>
      <c r="E97" s="269"/>
    </row>
    <row r="98" customFormat="false" ht="13.8" hidden="false" customHeight="false" outlineLevel="0" collapsed="false">
      <c r="A98" s="258" t="s">
        <v>104</v>
      </c>
      <c r="B98" s="270" t="n">
        <f aca="false">B100*10%</f>
        <v>595</v>
      </c>
      <c r="C98" s="250"/>
      <c r="D98" s="250"/>
      <c r="E98" s="269"/>
    </row>
    <row r="99" customFormat="false" ht="13.8" hidden="false" customHeight="false" outlineLevel="0" collapsed="false">
      <c r="A99" s="258" t="s">
        <v>106</v>
      </c>
      <c r="B99" s="270"/>
      <c r="C99" s="250"/>
      <c r="D99" s="250"/>
      <c r="E99" s="269"/>
    </row>
    <row r="100" customFormat="false" ht="13.8" hidden="false" customHeight="false" outlineLevel="0" collapsed="false">
      <c r="A100" s="254" t="s">
        <v>157</v>
      </c>
      <c r="B100" s="271" t="n">
        <v>5950</v>
      </c>
      <c r="C100" s="260" t="n">
        <f aca="false">SUM(B94:B99)-B100</f>
        <v>0</v>
      </c>
      <c r="D100" s="255" t="s">
        <v>158</v>
      </c>
      <c r="E100" s="271" t="n">
        <f aca="false">SUM(E82:E99)</f>
        <v>1800</v>
      </c>
    </row>
    <row r="101" customFormat="false" ht="13.8" hidden="false" customHeight="false" outlineLevel="0" collapsed="false">
      <c r="A101" s="254" t="s">
        <v>178</v>
      </c>
      <c r="B101" s="271" t="n">
        <f aca="false">B88+B92+B100</f>
        <v>40219</v>
      </c>
      <c r="C101" s="255"/>
      <c r="D101" s="266" t="s">
        <v>179</v>
      </c>
      <c r="E101" s="273" t="n">
        <f aca="false">B101-B92-E100</f>
        <v>36619</v>
      </c>
    </row>
    <row r="102" customFormat="false" ht="13.8" hidden="false" customHeight="false" outlineLevel="0" collapsed="false">
      <c r="A102" s="258"/>
      <c r="B102" s="250"/>
      <c r="C102" s="250"/>
      <c r="D102" s="250"/>
      <c r="E102" s="256"/>
    </row>
    <row r="103" customFormat="false" ht="13.8" hidden="false" customHeight="false" outlineLevel="0" collapsed="false">
      <c r="A103" s="254"/>
      <c r="B103" s="255"/>
      <c r="C103" s="255"/>
      <c r="D103" s="266"/>
      <c r="E103" s="274"/>
    </row>
    <row r="104" customFormat="false" ht="13.8" hidden="false" customHeight="false" outlineLevel="0" collapsed="false">
      <c r="A104" s="275"/>
      <c r="B104" s="276"/>
      <c r="C104" s="276"/>
      <c r="D104" s="276"/>
      <c r="E104" s="277"/>
    </row>
  </sheetData>
  <mergeCells count="3">
    <mergeCell ref="A6:E6"/>
    <mergeCell ref="A41:E41"/>
    <mergeCell ref="A75:E75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8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9.37109375" defaultRowHeight="13.8" zeroHeight="false" outlineLevelRow="0" outlineLevelCol="0"/>
  <cols>
    <col collapsed="false" customWidth="true" hidden="false" outlineLevel="0" max="1" min="1" style="124" width="9.27"/>
    <col collapsed="false" customWidth="true" hidden="false" outlineLevel="0" max="2" min="2" style="124" width="22.1"/>
    <col collapsed="false" customWidth="true" hidden="false" outlineLevel="0" max="3" min="3" style="124" width="16.24"/>
    <col collapsed="false" customWidth="true" hidden="false" outlineLevel="0" max="4" min="4" style="124" width="11.26"/>
    <col collapsed="false" customWidth="true" hidden="false" outlineLevel="0" max="5" min="5" style="124" width="16.27"/>
    <col collapsed="false" customWidth="true" hidden="false" outlineLevel="0" max="6" min="6" style="124" width="9.6"/>
  </cols>
  <sheetData>
    <row r="2" customFormat="false" ht="13.8" hidden="false" customHeight="false" outlineLevel="0" collapsed="false">
      <c r="B2" s="250"/>
      <c r="C2" s="250"/>
      <c r="D2" s="250"/>
      <c r="E2" s="250"/>
      <c r="F2" s="250"/>
    </row>
    <row r="3" customFormat="false" ht="13.8" hidden="false" customHeight="false" outlineLevel="0" collapsed="false">
      <c r="B3" s="250"/>
      <c r="C3" s="250"/>
      <c r="D3" s="250"/>
      <c r="E3" s="250"/>
      <c r="F3" s="250"/>
    </row>
    <row r="4" customFormat="false" ht="13.8" hidden="false" customHeight="false" outlineLevel="0" collapsed="false">
      <c r="B4" s="250"/>
      <c r="C4" s="250"/>
      <c r="D4" s="250"/>
      <c r="E4" s="250"/>
      <c r="F4" s="250"/>
    </row>
    <row r="5" s="124" customFormat="true" ht="13.8" hidden="false" customHeight="false" outlineLevel="0" collapsed="false">
      <c r="B5" s="278"/>
      <c r="C5" s="279"/>
      <c r="D5" s="279"/>
      <c r="E5" s="279"/>
      <c r="F5" s="280"/>
    </row>
    <row r="6" customFormat="false" ht="13.8" hidden="false" customHeight="false" outlineLevel="0" collapsed="false">
      <c r="B6" s="281" t="s">
        <v>144</v>
      </c>
      <c r="C6" s="282"/>
      <c r="D6" s="282"/>
      <c r="E6" s="283"/>
      <c r="F6" s="284"/>
    </row>
    <row r="7" customFormat="false" ht="13.8" hidden="false" customHeight="false" outlineLevel="0" collapsed="false">
      <c r="B7" s="285" t="s">
        <v>182</v>
      </c>
      <c r="C7" s="285"/>
      <c r="D7" s="285"/>
      <c r="E7" s="285"/>
      <c r="F7" s="285"/>
    </row>
    <row r="8" customFormat="false" ht="13.8" hidden="false" customHeight="false" outlineLevel="0" collapsed="false">
      <c r="B8" s="286"/>
      <c r="C8" s="287" t="s">
        <v>170</v>
      </c>
      <c r="D8" s="287"/>
      <c r="E8" s="283"/>
      <c r="F8" s="284"/>
    </row>
    <row r="9" customFormat="false" ht="13.8" hidden="false" customHeight="false" outlineLevel="0" collapsed="false">
      <c r="B9" s="286"/>
      <c r="C9" s="283"/>
      <c r="D9" s="283"/>
      <c r="E9" s="283"/>
      <c r="F9" s="284"/>
    </row>
    <row r="10" customFormat="false" ht="13.8" hidden="false" customHeight="false" outlineLevel="0" collapsed="false">
      <c r="B10" s="286" t="s">
        <v>171</v>
      </c>
      <c r="C10" s="288" t="s">
        <v>72</v>
      </c>
      <c r="D10" s="283" t="s">
        <v>183</v>
      </c>
      <c r="E10" s="289" t="s">
        <v>184</v>
      </c>
      <c r="F10" s="284"/>
    </row>
    <row r="11" customFormat="false" ht="13.8" hidden="false" customHeight="false" outlineLevel="0" collapsed="false">
      <c r="B11" s="286" t="s">
        <v>173</v>
      </c>
      <c r="C11" s="283" t="n">
        <v>25.5</v>
      </c>
      <c r="D11" s="283" t="s">
        <v>174</v>
      </c>
      <c r="E11" s="283" t="n">
        <v>31</v>
      </c>
      <c r="F11" s="284"/>
    </row>
    <row r="12" customFormat="false" ht="13.8" hidden="false" customHeight="false" outlineLevel="0" collapsed="false">
      <c r="B12" s="286" t="s">
        <v>175</v>
      </c>
      <c r="C12" s="290" t="s">
        <v>185</v>
      </c>
      <c r="D12" s="283"/>
      <c r="E12" s="283"/>
      <c r="F12" s="284"/>
    </row>
    <row r="13" customFormat="false" ht="26.85" hidden="false" customHeight="false" outlineLevel="0" collapsed="false">
      <c r="B13" s="281" t="s">
        <v>119</v>
      </c>
      <c r="C13" s="291" t="s">
        <v>177</v>
      </c>
      <c r="D13" s="282"/>
      <c r="E13" s="282" t="s">
        <v>121</v>
      </c>
      <c r="F13" s="292" t="s">
        <v>177</v>
      </c>
    </row>
    <row r="14" customFormat="false" ht="13.8" hidden="false" customHeight="false" outlineLevel="0" collapsed="false">
      <c r="B14" s="286" t="s">
        <v>21</v>
      </c>
      <c r="C14" s="293" t="n">
        <v>7328</v>
      </c>
      <c r="D14" s="283"/>
      <c r="E14" s="283" t="s">
        <v>24</v>
      </c>
      <c r="F14" s="294" t="n">
        <v>1319</v>
      </c>
    </row>
    <row r="15" customFormat="false" ht="13.8" hidden="false" customHeight="false" outlineLevel="0" collapsed="false">
      <c r="B15" s="286" t="s">
        <v>10</v>
      </c>
      <c r="C15" s="295" t="n">
        <v>3665</v>
      </c>
      <c r="D15" s="283"/>
      <c r="E15" s="283" t="s">
        <v>25</v>
      </c>
      <c r="F15" s="294" t="n">
        <v>110</v>
      </c>
    </row>
    <row r="16" customFormat="false" ht="13.8" hidden="false" customHeight="false" outlineLevel="0" collapsed="false">
      <c r="B16" s="286" t="s">
        <v>147</v>
      </c>
      <c r="C16" s="295" t="n">
        <v>1316</v>
      </c>
      <c r="D16" s="283"/>
      <c r="E16" s="283" t="s">
        <v>123</v>
      </c>
      <c r="F16" s="294" t="n">
        <v>0</v>
      </c>
    </row>
    <row r="17" customFormat="false" ht="13.8" hidden="false" customHeight="false" outlineLevel="0" collapsed="false">
      <c r="B17" s="286" t="s">
        <v>122</v>
      </c>
      <c r="C17" s="293" t="n">
        <v>660</v>
      </c>
      <c r="D17" s="283"/>
      <c r="E17" s="283" t="s">
        <v>99</v>
      </c>
      <c r="F17" s="294" t="n">
        <v>0</v>
      </c>
    </row>
    <row r="18" customFormat="false" ht="13.8" hidden="false" customHeight="false" outlineLevel="0" collapsed="false">
      <c r="B18" s="286" t="s">
        <v>148</v>
      </c>
      <c r="C18" s="293" t="n">
        <v>1688</v>
      </c>
      <c r="D18" s="283"/>
      <c r="E18" s="283" t="s">
        <v>106</v>
      </c>
      <c r="F18" s="294" t="n">
        <v>0</v>
      </c>
    </row>
    <row r="19" customFormat="false" ht="13.8" hidden="false" customHeight="false" outlineLevel="0" collapsed="false">
      <c r="B19" s="286" t="s">
        <v>106</v>
      </c>
      <c r="C19" s="295" t="n">
        <v>0</v>
      </c>
      <c r="D19" s="283"/>
      <c r="E19" s="283" t="s">
        <v>149</v>
      </c>
      <c r="F19" s="294" t="n">
        <v>0</v>
      </c>
    </row>
    <row r="20" customFormat="false" ht="13.8" hidden="false" customHeight="false" outlineLevel="0" collapsed="false">
      <c r="B20" s="281" t="s">
        <v>150</v>
      </c>
      <c r="C20" s="296" t="n">
        <f aca="false">SUM(C14:C19)</f>
        <v>14657</v>
      </c>
      <c r="D20" s="283"/>
      <c r="E20" s="283" t="s">
        <v>151</v>
      </c>
      <c r="F20" s="294" t="n">
        <v>0</v>
      </c>
    </row>
    <row r="21" customFormat="false" ht="13.8" hidden="false" customHeight="false" outlineLevel="0" collapsed="false">
      <c r="B21" s="281" t="s">
        <v>152</v>
      </c>
      <c r="C21" s="296"/>
      <c r="D21" s="283"/>
      <c r="E21" s="283"/>
      <c r="F21" s="297"/>
    </row>
    <row r="22" customFormat="false" ht="13.8" hidden="false" customHeight="false" outlineLevel="0" collapsed="false">
      <c r="B22" s="286" t="s">
        <v>127</v>
      </c>
      <c r="C22" s="298" t="n">
        <v>1800</v>
      </c>
      <c r="D22" s="283"/>
      <c r="E22" s="283"/>
      <c r="F22" s="297"/>
    </row>
    <row r="23" customFormat="false" ht="13.8" hidden="false" customHeight="false" outlineLevel="0" collapsed="false">
      <c r="B23" s="286" t="s">
        <v>128</v>
      </c>
      <c r="C23" s="295" t="n">
        <f aca="false">IF(C19&gt;21000,0,ROUND(C19*0.0325,0))</f>
        <v>0</v>
      </c>
      <c r="D23" s="283"/>
      <c r="E23" s="283"/>
      <c r="F23" s="297"/>
    </row>
    <row r="24" customFormat="false" ht="13.8" hidden="false" customHeight="false" outlineLevel="0" collapsed="false">
      <c r="B24" s="281" t="s">
        <v>153</v>
      </c>
      <c r="C24" s="296" t="n">
        <f aca="false">+C23+C22</f>
        <v>1800</v>
      </c>
      <c r="D24" s="283"/>
      <c r="E24" s="283"/>
      <c r="F24" s="297"/>
    </row>
    <row r="25" customFormat="false" ht="13.8" hidden="false" customHeight="false" outlineLevel="0" collapsed="false">
      <c r="B25" s="281" t="s">
        <v>154</v>
      </c>
      <c r="C25" s="295"/>
      <c r="D25" s="283"/>
      <c r="E25" s="283"/>
      <c r="F25" s="297"/>
    </row>
    <row r="26" customFormat="false" ht="13.8" hidden="false" customHeight="false" outlineLevel="0" collapsed="false">
      <c r="B26" s="286" t="s">
        <v>100</v>
      </c>
      <c r="C26" s="295" t="n">
        <f aca="false">C32*30%</f>
        <v>592.2</v>
      </c>
      <c r="D26" s="283"/>
      <c r="E26" s="283"/>
      <c r="F26" s="297"/>
    </row>
    <row r="27" customFormat="false" ht="13.8" hidden="false" customHeight="false" outlineLevel="0" collapsed="false">
      <c r="B27" s="286" t="s">
        <v>155</v>
      </c>
      <c r="C27" s="295" t="n">
        <f aca="false">C32*20%</f>
        <v>394.8</v>
      </c>
      <c r="D27" s="283"/>
      <c r="E27" s="283"/>
      <c r="F27" s="297"/>
    </row>
    <row r="28" customFormat="false" ht="13.8" hidden="false" customHeight="false" outlineLevel="0" collapsed="false">
      <c r="B28" s="286" t="s">
        <v>102</v>
      </c>
      <c r="C28" s="295" t="n">
        <f aca="false">C32*20%</f>
        <v>394.8</v>
      </c>
      <c r="D28" s="283"/>
      <c r="E28" s="283"/>
      <c r="F28" s="297"/>
    </row>
    <row r="29" customFormat="false" ht="13.8" hidden="false" customHeight="false" outlineLevel="0" collapsed="false">
      <c r="B29" s="286" t="s">
        <v>156</v>
      </c>
      <c r="C29" s="295" t="n">
        <f aca="false">C32*20%</f>
        <v>394.8</v>
      </c>
      <c r="D29" s="283"/>
      <c r="E29" s="283"/>
      <c r="F29" s="297"/>
    </row>
    <row r="30" customFormat="false" ht="13.8" hidden="false" customHeight="false" outlineLevel="0" collapsed="false">
      <c r="B30" s="286" t="s">
        <v>104</v>
      </c>
      <c r="C30" s="295" t="n">
        <f aca="false">C32*10%</f>
        <v>197.4</v>
      </c>
      <c r="D30" s="283"/>
      <c r="E30" s="283"/>
      <c r="F30" s="297"/>
    </row>
    <row r="31" customFormat="false" ht="13.8" hidden="false" customHeight="false" outlineLevel="0" collapsed="false">
      <c r="B31" s="286" t="s">
        <v>106</v>
      </c>
      <c r="C31" s="295"/>
      <c r="D31" s="283"/>
      <c r="E31" s="283"/>
      <c r="F31" s="297"/>
    </row>
    <row r="32" customFormat="false" ht="13.8" hidden="false" customHeight="false" outlineLevel="0" collapsed="false">
      <c r="B32" s="281" t="s">
        <v>157</v>
      </c>
      <c r="C32" s="296" t="n">
        <v>1974</v>
      </c>
      <c r="D32" s="283" t="n">
        <f aca="false">SUM(C26:C31)-C32</f>
        <v>0</v>
      </c>
      <c r="E32" s="282" t="s">
        <v>158</v>
      </c>
      <c r="F32" s="299" t="n">
        <f aca="false">SUM(F14:F31)</f>
        <v>1429</v>
      </c>
    </row>
    <row r="33" customFormat="false" ht="13.8" hidden="false" customHeight="false" outlineLevel="0" collapsed="false">
      <c r="B33" s="281" t="s">
        <v>178</v>
      </c>
      <c r="C33" s="296" t="n">
        <f aca="false">C20+C24+C32</f>
        <v>18431</v>
      </c>
      <c r="D33" s="282"/>
      <c r="E33" s="282" t="s">
        <v>179</v>
      </c>
      <c r="F33" s="299" t="n">
        <f aca="false">C33-C24-F32</f>
        <v>15202</v>
      </c>
    </row>
    <row r="34" customFormat="false" ht="13.8" hidden="false" customHeight="false" outlineLevel="0" collapsed="false">
      <c r="B34" s="286"/>
      <c r="C34" s="283"/>
      <c r="D34" s="283"/>
      <c r="E34" s="283"/>
      <c r="F34" s="284"/>
    </row>
    <row r="35" customFormat="false" ht="13.8" hidden="false" customHeight="false" outlineLevel="0" collapsed="false">
      <c r="B35" s="281"/>
      <c r="C35" s="282"/>
      <c r="D35" s="282"/>
      <c r="E35" s="282"/>
      <c r="F35" s="300"/>
    </row>
    <row r="36" customFormat="false" ht="13.8" hidden="false" customHeight="false" outlineLevel="0" collapsed="false">
      <c r="B36" s="301"/>
      <c r="C36" s="302"/>
      <c r="D36" s="302"/>
      <c r="E36" s="302"/>
      <c r="F36" s="303"/>
    </row>
    <row r="40" customFormat="false" ht="14.9" hidden="false" customHeight="false" outlineLevel="0" collapsed="false">
      <c r="B40" s="128" t="s">
        <v>186</v>
      </c>
    </row>
    <row r="41" customFormat="false" ht="13.8" hidden="false" customHeight="false" outlineLevel="0" collapsed="false">
      <c r="B41" s="230" t="s">
        <v>187</v>
      </c>
    </row>
    <row r="42" customFormat="false" ht="13.8" hidden="false" customHeight="false" outlineLevel="0" collapsed="false">
      <c r="B42" s="230"/>
    </row>
    <row r="45" customFormat="false" ht="13.8" hidden="false" customHeight="false" outlineLevel="0" collapsed="false">
      <c r="B45" s="304" t="s">
        <v>188</v>
      </c>
    </row>
    <row r="46" customFormat="false" ht="13.8" hidden="false" customHeight="false" outlineLevel="0" collapsed="false">
      <c r="B46" s="304" t="s">
        <v>189</v>
      </c>
    </row>
    <row r="61" customFormat="false" ht="13.8" hidden="false" customHeight="false" outlineLevel="0" collapsed="false">
      <c r="G61" s="124"/>
    </row>
    <row r="62" customFormat="false" ht="13.8" hidden="false" customHeight="false" outlineLevel="0" collapsed="false">
      <c r="G62" s="124"/>
    </row>
    <row r="66" customFormat="false" ht="13.8" hidden="false" customHeight="false" outlineLevel="0" collapsed="false">
      <c r="B66" s="278"/>
      <c r="C66" s="279"/>
      <c r="D66" s="279"/>
      <c r="E66" s="279"/>
      <c r="F66" s="280"/>
      <c r="G66" s="124"/>
    </row>
    <row r="67" customFormat="false" ht="13.8" hidden="false" customHeight="false" outlineLevel="0" collapsed="false">
      <c r="B67" s="281" t="s">
        <v>144</v>
      </c>
      <c r="C67" s="282"/>
      <c r="D67" s="282"/>
      <c r="E67" s="283"/>
      <c r="F67" s="284"/>
    </row>
    <row r="68" customFormat="false" ht="13.8" hidden="false" customHeight="false" outlineLevel="0" collapsed="false">
      <c r="B68" s="285" t="s">
        <v>190</v>
      </c>
      <c r="C68" s="285"/>
      <c r="D68" s="285"/>
      <c r="E68" s="285"/>
      <c r="F68" s="285"/>
    </row>
    <row r="69" customFormat="false" ht="13.8" hidden="false" customHeight="false" outlineLevel="0" collapsed="false">
      <c r="B69" s="286"/>
      <c r="C69" s="287" t="s">
        <v>170</v>
      </c>
      <c r="D69" s="287"/>
      <c r="E69" s="283"/>
      <c r="F69" s="284"/>
    </row>
    <row r="70" customFormat="false" ht="13.8" hidden="false" customHeight="false" outlineLevel="0" collapsed="false">
      <c r="B70" s="286"/>
      <c r="C70" s="283"/>
      <c r="D70" s="283"/>
      <c r="E70" s="283"/>
      <c r="F70" s="284"/>
    </row>
    <row r="71" customFormat="false" ht="13.8" hidden="false" customHeight="false" outlineLevel="0" collapsed="false">
      <c r="B71" s="286" t="s">
        <v>171</v>
      </c>
      <c r="C71" s="288" t="s">
        <v>72</v>
      </c>
      <c r="D71" s="283" t="s">
        <v>183</v>
      </c>
      <c r="E71" s="289" t="s">
        <v>191</v>
      </c>
      <c r="F71" s="284"/>
    </row>
    <row r="72" customFormat="false" ht="13.8" hidden="false" customHeight="false" outlineLevel="0" collapsed="false">
      <c r="B72" s="286" t="s">
        <v>173</v>
      </c>
      <c r="C72" s="283" t="n">
        <v>22.5</v>
      </c>
      <c r="D72" s="283" t="s">
        <v>174</v>
      </c>
      <c r="E72" s="283" t="n">
        <v>28</v>
      </c>
      <c r="F72" s="284"/>
    </row>
    <row r="73" customFormat="false" ht="13.8" hidden="false" customHeight="false" outlineLevel="0" collapsed="false">
      <c r="B73" s="286" t="s">
        <v>175</v>
      </c>
      <c r="C73" s="290" t="s">
        <v>185</v>
      </c>
      <c r="D73" s="283"/>
      <c r="E73" s="283"/>
      <c r="F73" s="284"/>
    </row>
    <row r="74" customFormat="false" ht="26.85" hidden="false" customHeight="false" outlineLevel="0" collapsed="false">
      <c r="B74" s="281" t="s">
        <v>119</v>
      </c>
      <c r="C74" s="291" t="s">
        <v>177</v>
      </c>
      <c r="D74" s="282"/>
      <c r="E74" s="282" t="s">
        <v>121</v>
      </c>
      <c r="F74" s="292" t="s">
        <v>177</v>
      </c>
    </row>
    <row r="75" customFormat="false" ht="13.8" hidden="false" customHeight="false" outlineLevel="0" collapsed="false">
      <c r="B75" s="286" t="s">
        <v>21</v>
      </c>
      <c r="C75" s="293" t="n">
        <v>7159</v>
      </c>
      <c r="D75" s="283"/>
      <c r="E75" s="283" t="s">
        <v>24</v>
      </c>
      <c r="F75" s="294" t="n">
        <v>1289</v>
      </c>
      <c r="G75" s="128" t="s">
        <v>192</v>
      </c>
    </row>
    <row r="76" customFormat="false" ht="13.8" hidden="false" customHeight="false" outlineLevel="0" collapsed="false">
      <c r="B76" s="286" t="s">
        <v>10</v>
      </c>
      <c r="C76" s="295" t="n">
        <v>3580</v>
      </c>
      <c r="D76" s="283"/>
      <c r="E76" s="283" t="s">
        <v>25</v>
      </c>
      <c r="F76" s="294" t="n">
        <v>108</v>
      </c>
      <c r="G76" s="128" t="s">
        <v>193</v>
      </c>
    </row>
    <row r="77" customFormat="false" ht="13.8" hidden="false" customHeight="false" outlineLevel="0" collapsed="false">
      <c r="B77" s="286" t="s">
        <v>147</v>
      </c>
      <c r="C77" s="295" t="n">
        <v>1286</v>
      </c>
      <c r="D77" s="283"/>
      <c r="E77" s="283" t="s">
        <v>123</v>
      </c>
      <c r="F77" s="294" t="n">
        <v>0</v>
      </c>
    </row>
    <row r="78" customFormat="false" ht="26.85" hidden="false" customHeight="false" outlineLevel="0" collapsed="false">
      <c r="B78" s="286" t="s">
        <v>122</v>
      </c>
      <c r="C78" s="293" t="n">
        <v>644</v>
      </c>
      <c r="D78" s="283"/>
      <c r="E78" s="305" t="s">
        <v>194</v>
      </c>
      <c r="F78" s="294" t="n">
        <v>12000</v>
      </c>
    </row>
    <row r="79" customFormat="false" ht="13.8" hidden="false" customHeight="false" outlineLevel="0" collapsed="false">
      <c r="B79" s="286" t="s">
        <v>148</v>
      </c>
      <c r="C79" s="293" t="n">
        <v>1649</v>
      </c>
      <c r="D79" s="283"/>
      <c r="E79" s="283" t="s">
        <v>106</v>
      </c>
      <c r="F79" s="294" t="n">
        <v>0</v>
      </c>
    </row>
    <row r="80" customFormat="false" ht="13.8" hidden="false" customHeight="false" outlineLevel="0" collapsed="false">
      <c r="B80" s="286" t="s">
        <v>106</v>
      </c>
      <c r="C80" s="295" t="n">
        <v>0</v>
      </c>
      <c r="D80" s="283"/>
      <c r="E80" s="283" t="s">
        <v>149</v>
      </c>
      <c r="F80" s="294" t="n">
        <v>0</v>
      </c>
    </row>
    <row r="81" customFormat="false" ht="13.8" hidden="false" customHeight="false" outlineLevel="0" collapsed="false">
      <c r="B81" s="281" t="s">
        <v>150</v>
      </c>
      <c r="C81" s="296" t="n">
        <f aca="false">SUM(C75:C80)</f>
        <v>14318</v>
      </c>
      <c r="D81" s="283"/>
      <c r="E81" s="283" t="s">
        <v>151</v>
      </c>
      <c r="F81" s="294" t="n">
        <v>0</v>
      </c>
    </row>
    <row r="82" customFormat="false" ht="13.8" hidden="false" customHeight="false" outlineLevel="0" collapsed="false">
      <c r="B82" s="281" t="s">
        <v>152</v>
      </c>
      <c r="C82" s="296"/>
      <c r="D82" s="283"/>
      <c r="E82" s="283"/>
      <c r="F82" s="297"/>
    </row>
    <row r="83" customFormat="false" ht="13.8" hidden="false" customHeight="false" outlineLevel="0" collapsed="false">
      <c r="B83" s="286" t="s">
        <v>127</v>
      </c>
      <c r="C83" s="298" t="n">
        <v>1800</v>
      </c>
      <c r="D83" s="283"/>
      <c r="E83" s="283"/>
      <c r="F83" s="297"/>
    </row>
    <row r="84" customFormat="false" ht="13.8" hidden="false" customHeight="false" outlineLevel="0" collapsed="false">
      <c r="B84" s="286" t="s">
        <v>128</v>
      </c>
      <c r="C84" s="295" t="n">
        <f aca="false">IF(C80&gt;21000,0,ROUND(C80*0.0325,0))</f>
        <v>0</v>
      </c>
      <c r="D84" s="283"/>
      <c r="E84" s="283"/>
      <c r="F84" s="297"/>
    </row>
    <row r="85" customFormat="false" ht="13.8" hidden="false" customHeight="false" outlineLevel="0" collapsed="false">
      <c r="B85" s="281" t="s">
        <v>153</v>
      </c>
      <c r="C85" s="296" t="n">
        <f aca="false">+C84+C83</f>
        <v>1800</v>
      </c>
      <c r="D85" s="283"/>
      <c r="E85" s="283"/>
      <c r="F85" s="297"/>
    </row>
    <row r="86" customFormat="false" ht="13.8" hidden="false" customHeight="false" outlineLevel="0" collapsed="false">
      <c r="B86" s="281" t="s">
        <v>154</v>
      </c>
      <c r="C86" s="295"/>
      <c r="D86" s="283"/>
      <c r="E86" s="283"/>
      <c r="F86" s="297"/>
    </row>
    <row r="87" customFormat="false" ht="13.8" hidden="false" customHeight="false" outlineLevel="0" collapsed="false">
      <c r="B87" s="286" t="s">
        <v>100</v>
      </c>
      <c r="C87" s="295" t="n">
        <f aca="false">C93*30%</f>
        <v>579</v>
      </c>
      <c r="D87" s="283"/>
      <c r="E87" s="283"/>
      <c r="F87" s="297"/>
    </row>
    <row r="88" customFormat="false" ht="13.8" hidden="false" customHeight="false" outlineLevel="0" collapsed="false">
      <c r="B88" s="286" t="s">
        <v>155</v>
      </c>
      <c r="C88" s="295" t="n">
        <f aca="false">C93*20%</f>
        <v>386</v>
      </c>
      <c r="D88" s="283"/>
      <c r="E88" s="283"/>
      <c r="F88" s="297"/>
    </row>
    <row r="89" customFormat="false" ht="13.8" hidden="false" customHeight="false" outlineLevel="0" collapsed="false">
      <c r="B89" s="286" t="s">
        <v>102</v>
      </c>
      <c r="C89" s="295" t="n">
        <f aca="false">C93*20%</f>
        <v>386</v>
      </c>
      <c r="D89" s="283"/>
      <c r="E89" s="283"/>
      <c r="F89" s="297"/>
    </row>
    <row r="90" customFormat="false" ht="13.8" hidden="false" customHeight="false" outlineLevel="0" collapsed="false">
      <c r="B90" s="286" t="s">
        <v>156</v>
      </c>
      <c r="C90" s="295" t="n">
        <f aca="false">C93*20%</f>
        <v>386</v>
      </c>
      <c r="D90" s="283"/>
      <c r="E90" s="283"/>
      <c r="F90" s="297"/>
    </row>
    <row r="91" customFormat="false" ht="13.8" hidden="false" customHeight="false" outlineLevel="0" collapsed="false">
      <c r="B91" s="286" t="s">
        <v>104</v>
      </c>
      <c r="C91" s="295" t="n">
        <f aca="false">C93*10%</f>
        <v>193</v>
      </c>
      <c r="D91" s="283"/>
      <c r="E91" s="283"/>
      <c r="F91" s="297"/>
    </row>
    <row r="92" customFormat="false" ht="13.8" hidden="false" customHeight="false" outlineLevel="0" collapsed="false">
      <c r="B92" s="286" t="s">
        <v>106</v>
      </c>
      <c r="C92" s="295"/>
      <c r="D92" s="283"/>
      <c r="E92" s="283"/>
      <c r="F92" s="297"/>
    </row>
    <row r="93" customFormat="false" ht="13.8" hidden="false" customHeight="false" outlineLevel="0" collapsed="false">
      <c r="B93" s="281" t="s">
        <v>157</v>
      </c>
      <c r="C93" s="296" t="n">
        <v>1930</v>
      </c>
      <c r="D93" s="283" t="n">
        <f aca="false">SUM(C87:C92)-C93</f>
        <v>0</v>
      </c>
      <c r="E93" s="282" t="s">
        <v>158</v>
      </c>
      <c r="F93" s="299" t="n">
        <f aca="false">SUM(F75:F92)</f>
        <v>13397</v>
      </c>
    </row>
    <row r="94" customFormat="false" ht="13.8" hidden="false" customHeight="false" outlineLevel="0" collapsed="false">
      <c r="B94" s="281" t="s">
        <v>178</v>
      </c>
      <c r="C94" s="296" t="n">
        <f aca="false">C81+C85+C93</f>
        <v>18048</v>
      </c>
      <c r="D94" s="282"/>
      <c r="E94" s="282" t="s">
        <v>179</v>
      </c>
      <c r="F94" s="299" t="n">
        <f aca="false">C94-C85-F93</f>
        <v>2851</v>
      </c>
    </row>
    <row r="95" customFormat="false" ht="13.8" hidden="false" customHeight="false" outlineLevel="0" collapsed="false">
      <c r="B95" s="286"/>
      <c r="C95" s="283"/>
      <c r="D95" s="283"/>
      <c r="E95" s="283"/>
      <c r="F95" s="284"/>
    </row>
    <row r="96" customFormat="false" ht="13.8" hidden="false" customHeight="false" outlineLevel="0" collapsed="false">
      <c r="B96" s="281"/>
      <c r="C96" s="282"/>
      <c r="D96" s="282"/>
      <c r="E96" s="282"/>
      <c r="F96" s="300"/>
    </row>
    <row r="97" customFormat="false" ht="13.8" hidden="false" customHeight="false" outlineLevel="0" collapsed="false">
      <c r="B97" s="301"/>
      <c r="C97" s="302"/>
      <c r="D97" s="302"/>
      <c r="E97" s="302"/>
      <c r="F97" s="303"/>
    </row>
    <row r="101" s="124" customFormat="true" ht="14.9" hidden="false" customHeight="false" outlineLevel="0" collapsed="false">
      <c r="B101" s="128" t="s">
        <v>186</v>
      </c>
      <c r="G101" s="57"/>
    </row>
    <row r="102" customFormat="false" ht="13.8" hidden="false" customHeight="false" outlineLevel="0" collapsed="false">
      <c r="B102" s="230" t="s">
        <v>187</v>
      </c>
    </row>
    <row r="103" customFormat="false" ht="13.8" hidden="false" customHeight="false" outlineLevel="0" collapsed="false">
      <c r="B103" s="230"/>
      <c r="G103" s="124"/>
    </row>
    <row r="105" customFormat="false" ht="13.8" hidden="false" customHeight="false" outlineLevel="0" collapsed="false">
      <c r="G105" s="124"/>
    </row>
    <row r="106" customFormat="false" ht="13.8" hidden="false" customHeight="false" outlineLevel="0" collapsed="false">
      <c r="B106" s="304" t="s">
        <v>188</v>
      </c>
    </row>
    <row r="107" customFormat="false" ht="13.8" hidden="false" customHeight="false" outlineLevel="0" collapsed="false">
      <c r="B107" s="304" t="s">
        <v>189</v>
      </c>
    </row>
    <row r="108" customFormat="false" ht="13.8" hidden="false" customHeight="false" outlineLevel="0" collapsed="false">
      <c r="G108" s="124"/>
    </row>
    <row r="110" customFormat="false" ht="13.8" hidden="false" customHeight="false" outlineLevel="0" collapsed="false">
      <c r="G110" s="124"/>
    </row>
    <row r="116" customFormat="false" ht="13.8" hidden="false" customHeight="false" outlineLevel="0" collapsed="false">
      <c r="G116" s="124"/>
    </row>
    <row r="117" customFormat="false" ht="13.8" hidden="false" customHeight="false" outlineLevel="0" collapsed="false">
      <c r="G117" s="124"/>
    </row>
    <row r="121" customFormat="false" ht="13.8" hidden="false" customHeight="false" outlineLevel="0" collapsed="false">
      <c r="G121" s="124"/>
    </row>
    <row r="122" customFormat="false" ht="13.8" hidden="false" customHeight="false" outlineLevel="0" collapsed="false">
      <c r="G122" s="124"/>
    </row>
    <row r="123" customFormat="false" ht="13.8" hidden="false" customHeight="false" outlineLevel="0" collapsed="false">
      <c r="G123" s="124"/>
    </row>
    <row r="127" customFormat="false" ht="13.8" hidden="false" customHeight="false" outlineLevel="0" collapsed="false">
      <c r="B127" s="278"/>
      <c r="C127" s="279"/>
      <c r="D127" s="279"/>
      <c r="E127" s="279"/>
      <c r="F127" s="280"/>
      <c r="G127" s="124"/>
    </row>
    <row r="128" customFormat="false" ht="13.8" hidden="false" customHeight="false" outlineLevel="0" collapsed="false">
      <c r="B128" s="281" t="s">
        <v>144</v>
      </c>
      <c r="C128" s="282"/>
      <c r="D128" s="282"/>
      <c r="E128" s="283"/>
      <c r="F128" s="284"/>
    </row>
    <row r="129" customFormat="false" ht="13.8" hidden="false" customHeight="false" outlineLevel="0" collapsed="false">
      <c r="B129" s="285" t="s">
        <v>195</v>
      </c>
      <c r="C129" s="285"/>
      <c r="D129" s="285"/>
      <c r="E129" s="285"/>
      <c r="F129" s="285"/>
    </row>
    <row r="130" customFormat="false" ht="13.8" hidden="false" customHeight="false" outlineLevel="0" collapsed="false">
      <c r="B130" s="286"/>
      <c r="C130" s="287" t="s">
        <v>170</v>
      </c>
      <c r="D130" s="287"/>
      <c r="E130" s="283"/>
      <c r="F130" s="284"/>
    </row>
    <row r="131" customFormat="false" ht="13.8" hidden="false" customHeight="false" outlineLevel="0" collapsed="false">
      <c r="B131" s="286"/>
      <c r="C131" s="283"/>
      <c r="D131" s="283"/>
      <c r="E131" s="283"/>
      <c r="F131" s="284"/>
    </row>
    <row r="132" customFormat="false" ht="13.8" hidden="false" customHeight="false" outlineLevel="0" collapsed="false">
      <c r="B132" s="286" t="s">
        <v>171</v>
      </c>
      <c r="C132" s="288" t="s">
        <v>72</v>
      </c>
      <c r="D132" s="283" t="s">
        <v>183</v>
      </c>
      <c r="E132" s="289" t="s">
        <v>196</v>
      </c>
      <c r="F132" s="284"/>
    </row>
    <row r="133" customFormat="false" ht="13.8" hidden="false" customHeight="false" outlineLevel="0" collapsed="false">
      <c r="B133" s="286" t="s">
        <v>173</v>
      </c>
      <c r="C133" s="283" t="n">
        <v>17</v>
      </c>
      <c r="D133" s="283" t="s">
        <v>174</v>
      </c>
      <c r="E133" s="283" t="n">
        <v>31</v>
      </c>
      <c r="F133" s="284"/>
    </row>
    <row r="134" customFormat="false" ht="13.8" hidden="false" customHeight="false" outlineLevel="0" collapsed="false">
      <c r="B134" s="286" t="s">
        <v>175</v>
      </c>
      <c r="C134" s="290" t="s">
        <v>185</v>
      </c>
      <c r="D134" s="283"/>
      <c r="E134" s="283"/>
      <c r="F134" s="284"/>
    </row>
    <row r="135" customFormat="false" ht="26.85" hidden="false" customHeight="false" outlineLevel="0" collapsed="false">
      <c r="B135" s="281" t="s">
        <v>119</v>
      </c>
      <c r="C135" s="291" t="s">
        <v>177</v>
      </c>
      <c r="D135" s="282"/>
      <c r="E135" s="282" t="s">
        <v>121</v>
      </c>
      <c r="F135" s="292" t="s">
        <v>177</v>
      </c>
    </row>
    <row r="136" customFormat="false" ht="13.8" hidden="false" customHeight="false" outlineLevel="0" collapsed="false">
      <c r="B136" s="286" t="s">
        <v>21</v>
      </c>
      <c r="C136" s="293" t="n">
        <v>4886</v>
      </c>
      <c r="D136" s="283"/>
      <c r="E136" s="283" t="s">
        <v>24</v>
      </c>
      <c r="F136" s="294" t="n">
        <v>879</v>
      </c>
    </row>
    <row r="137" customFormat="false" ht="13.8" hidden="false" customHeight="false" outlineLevel="0" collapsed="false">
      <c r="B137" s="286" t="s">
        <v>10</v>
      </c>
      <c r="C137" s="295" t="n">
        <v>2443</v>
      </c>
      <c r="D137" s="283"/>
      <c r="E137" s="283" t="s">
        <v>25</v>
      </c>
      <c r="F137" s="294" t="n">
        <v>74</v>
      </c>
    </row>
    <row r="138" customFormat="false" ht="13.8" hidden="false" customHeight="false" outlineLevel="0" collapsed="false">
      <c r="B138" s="286" t="s">
        <v>147</v>
      </c>
      <c r="C138" s="295" t="n">
        <v>877</v>
      </c>
      <c r="D138" s="283"/>
      <c r="E138" s="283" t="s">
        <v>123</v>
      </c>
      <c r="F138" s="294" t="n">
        <v>0</v>
      </c>
    </row>
    <row r="139" customFormat="false" ht="13.8" hidden="false" customHeight="false" outlineLevel="0" collapsed="false">
      <c r="B139" s="286" t="s">
        <v>122</v>
      </c>
      <c r="C139" s="293" t="n">
        <v>440</v>
      </c>
      <c r="D139" s="283"/>
      <c r="E139" s="283" t="s">
        <v>99</v>
      </c>
      <c r="F139" s="294" t="n">
        <v>0</v>
      </c>
    </row>
    <row r="140" customFormat="false" ht="13.8" hidden="false" customHeight="false" outlineLevel="0" collapsed="false">
      <c r="B140" s="286" t="s">
        <v>148</v>
      </c>
      <c r="C140" s="293" t="n">
        <v>1125</v>
      </c>
      <c r="D140" s="283"/>
      <c r="E140" s="283" t="s">
        <v>106</v>
      </c>
      <c r="F140" s="294" t="n">
        <v>0</v>
      </c>
    </row>
    <row r="141" customFormat="false" ht="13.8" hidden="false" customHeight="false" outlineLevel="0" collapsed="false">
      <c r="B141" s="286" t="s">
        <v>106</v>
      </c>
      <c r="C141" s="295" t="n">
        <v>0</v>
      </c>
      <c r="D141" s="283"/>
      <c r="E141" s="283" t="s">
        <v>149</v>
      </c>
      <c r="F141" s="294" t="n">
        <v>0</v>
      </c>
    </row>
    <row r="142" customFormat="false" ht="13.8" hidden="false" customHeight="false" outlineLevel="0" collapsed="false">
      <c r="B142" s="281" t="s">
        <v>150</v>
      </c>
      <c r="C142" s="296" t="n">
        <f aca="false">SUM(C136:C141)</f>
        <v>9771</v>
      </c>
      <c r="D142" s="283"/>
      <c r="E142" s="283" t="s">
        <v>151</v>
      </c>
      <c r="F142" s="294" t="n">
        <v>0</v>
      </c>
    </row>
    <row r="143" customFormat="false" ht="13.8" hidden="false" customHeight="false" outlineLevel="0" collapsed="false">
      <c r="B143" s="281" t="s">
        <v>152</v>
      </c>
      <c r="C143" s="296"/>
      <c r="D143" s="283"/>
      <c r="E143" s="283"/>
      <c r="F143" s="297"/>
    </row>
    <row r="144" customFormat="false" ht="13.8" hidden="false" customHeight="false" outlineLevel="0" collapsed="false">
      <c r="B144" s="286" t="s">
        <v>127</v>
      </c>
      <c r="C144" s="298" t="n">
        <v>1800</v>
      </c>
      <c r="D144" s="283"/>
      <c r="E144" s="283"/>
      <c r="F144" s="297"/>
    </row>
    <row r="145" customFormat="false" ht="13.8" hidden="false" customHeight="false" outlineLevel="0" collapsed="false">
      <c r="B145" s="286" t="s">
        <v>128</v>
      </c>
      <c r="C145" s="295" t="n">
        <f aca="false">IF(C141&gt;21000,0,ROUND(C141*0.0325,0))</f>
        <v>0</v>
      </c>
      <c r="D145" s="283"/>
      <c r="E145" s="283"/>
      <c r="F145" s="297"/>
    </row>
    <row r="146" customFormat="false" ht="13.8" hidden="false" customHeight="false" outlineLevel="0" collapsed="false">
      <c r="B146" s="281" t="s">
        <v>153</v>
      </c>
      <c r="C146" s="296" t="n">
        <f aca="false">+C145+C144</f>
        <v>1800</v>
      </c>
      <c r="D146" s="283"/>
      <c r="E146" s="283"/>
      <c r="F146" s="297"/>
    </row>
    <row r="147" customFormat="false" ht="13.8" hidden="false" customHeight="false" outlineLevel="0" collapsed="false">
      <c r="B147" s="281" t="s">
        <v>154</v>
      </c>
      <c r="C147" s="295"/>
      <c r="D147" s="283"/>
      <c r="E147" s="283"/>
      <c r="F147" s="297"/>
    </row>
    <row r="148" customFormat="false" ht="13.8" hidden="false" customHeight="false" outlineLevel="0" collapsed="false">
      <c r="B148" s="286" t="s">
        <v>100</v>
      </c>
      <c r="C148" s="295" t="n">
        <f aca="false">C154*30%</f>
        <v>394.8</v>
      </c>
      <c r="D148" s="283"/>
      <c r="E148" s="283"/>
      <c r="F148" s="297"/>
    </row>
    <row r="149" customFormat="false" ht="13.8" hidden="false" customHeight="false" outlineLevel="0" collapsed="false">
      <c r="B149" s="286" t="s">
        <v>155</v>
      </c>
      <c r="C149" s="295" t="n">
        <f aca="false">C154*20%</f>
        <v>263.2</v>
      </c>
      <c r="D149" s="283"/>
      <c r="E149" s="283"/>
      <c r="F149" s="297"/>
    </row>
    <row r="150" customFormat="false" ht="13.8" hidden="false" customHeight="false" outlineLevel="0" collapsed="false">
      <c r="B150" s="286" t="s">
        <v>102</v>
      </c>
      <c r="C150" s="295" t="n">
        <f aca="false">C154*20%</f>
        <v>263.2</v>
      </c>
      <c r="D150" s="283"/>
      <c r="E150" s="283"/>
      <c r="F150" s="297"/>
    </row>
    <row r="151" customFormat="false" ht="13.8" hidden="false" customHeight="false" outlineLevel="0" collapsed="false">
      <c r="B151" s="286" t="s">
        <v>156</v>
      </c>
      <c r="C151" s="295" t="n">
        <f aca="false">C154*20%</f>
        <v>263.2</v>
      </c>
      <c r="D151" s="283"/>
      <c r="E151" s="283"/>
      <c r="F151" s="297"/>
    </row>
    <row r="152" customFormat="false" ht="13.8" hidden="false" customHeight="false" outlineLevel="0" collapsed="false">
      <c r="B152" s="286" t="s">
        <v>104</v>
      </c>
      <c r="C152" s="295" t="n">
        <f aca="false">C154*10%</f>
        <v>131.6</v>
      </c>
      <c r="D152" s="283"/>
      <c r="E152" s="283"/>
      <c r="F152" s="297"/>
    </row>
    <row r="153" customFormat="false" ht="13.8" hidden="false" customHeight="false" outlineLevel="0" collapsed="false">
      <c r="B153" s="286" t="s">
        <v>106</v>
      </c>
      <c r="C153" s="295"/>
      <c r="D153" s="283"/>
      <c r="E153" s="283"/>
      <c r="F153" s="297"/>
    </row>
    <row r="154" customFormat="false" ht="13.8" hidden="false" customHeight="false" outlineLevel="0" collapsed="false">
      <c r="B154" s="281" t="s">
        <v>157</v>
      </c>
      <c r="C154" s="296" t="n">
        <v>1316</v>
      </c>
      <c r="D154" s="283" t="n">
        <f aca="false">SUM(C148:C153)-C154</f>
        <v>0</v>
      </c>
      <c r="E154" s="282" t="s">
        <v>158</v>
      </c>
      <c r="F154" s="299" t="n">
        <f aca="false">SUM(F136:F153)</f>
        <v>953</v>
      </c>
    </row>
    <row r="155" customFormat="false" ht="13.8" hidden="false" customHeight="false" outlineLevel="0" collapsed="false">
      <c r="B155" s="281" t="s">
        <v>178</v>
      </c>
      <c r="C155" s="296" t="n">
        <f aca="false">C142+C146+C154</f>
        <v>12887</v>
      </c>
      <c r="D155" s="282"/>
      <c r="E155" s="282" t="s">
        <v>179</v>
      </c>
      <c r="F155" s="299" t="n">
        <f aca="false">C155-C146-F154</f>
        <v>10134</v>
      </c>
    </row>
    <row r="156" customFormat="false" ht="13.8" hidden="false" customHeight="false" outlineLevel="0" collapsed="false">
      <c r="B156" s="286"/>
      <c r="C156" s="283"/>
      <c r="D156" s="283"/>
      <c r="E156" s="283"/>
      <c r="F156" s="284"/>
    </row>
    <row r="157" customFormat="false" ht="13.8" hidden="false" customHeight="false" outlineLevel="0" collapsed="false">
      <c r="B157" s="281"/>
      <c r="C157" s="282"/>
      <c r="D157" s="282"/>
      <c r="E157" s="282"/>
      <c r="F157" s="300"/>
    </row>
    <row r="158" customFormat="false" ht="13.8" hidden="false" customHeight="false" outlineLevel="0" collapsed="false">
      <c r="B158" s="301"/>
      <c r="C158" s="302"/>
      <c r="D158" s="302"/>
      <c r="E158" s="302"/>
      <c r="F158" s="303"/>
    </row>
    <row r="162" customFormat="false" ht="14.9" hidden="false" customHeight="false" outlineLevel="0" collapsed="false">
      <c r="B162" s="128" t="s">
        <v>186</v>
      </c>
    </row>
    <row r="163" customFormat="false" ht="13.8" hidden="false" customHeight="false" outlineLevel="0" collapsed="false">
      <c r="B163" s="230" t="s">
        <v>187</v>
      </c>
    </row>
    <row r="164" customFormat="false" ht="13.8" hidden="false" customHeight="false" outlineLevel="0" collapsed="false">
      <c r="B164" s="230"/>
    </row>
    <row r="167" customFormat="false" ht="13.8" hidden="false" customHeight="false" outlineLevel="0" collapsed="false">
      <c r="B167" s="304" t="s">
        <v>188</v>
      </c>
    </row>
    <row r="168" customFormat="false" ht="13.8" hidden="false" customHeight="false" outlineLevel="0" collapsed="false">
      <c r="B168" s="304" t="s">
        <v>189</v>
      </c>
    </row>
  </sheetData>
  <mergeCells count="3">
    <mergeCell ref="B7:F7"/>
    <mergeCell ref="B68:F68"/>
    <mergeCell ref="B129:F12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8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10" activeCellId="0" sqref="G10"/>
    </sheetView>
  </sheetViews>
  <sheetFormatPr defaultColWidth="12.625" defaultRowHeight="12.8" zeroHeight="false" outlineLevelRow="0" outlineLevelCol="0"/>
  <cols>
    <col collapsed="false" customWidth="true" hidden="false" outlineLevel="0" max="64" min="1" style="124" width="9.17"/>
  </cols>
  <sheetData>
    <row r="1" customFormat="false" ht="13.8" hidden="false" customHeight="false" outlineLevel="0" collapsed="false">
      <c r="A1" s="230" t="s">
        <v>197</v>
      </c>
    </row>
    <row r="2" customFormat="false" ht="13.8" hidden="false" customHeight="false" outlineLevel="0" collapsed="false">
      <c r="A2" s="230"/>
    </row>
    <row r="3" customFormat="false" ht="13.8" hidden="false" customHeight="false" outlineLevel="0" collapsed="false">
      <c r="A3" s="124" t="s">
        <v>198</v>
      </c>
      <c r="B3" s="124" t="s">
        <v>31</v>
      </c>
      <c r="C3" s="124" t="s">
        <v>199</v>
      </c>
      <c r="D3" s="124" t="s">
        <v>200</v>
      </c>
      <c r="E3" s="124" t="s">
        <v>201</v>
      </c>
      <c r="F3" s="124" t="s">
        <v>202</v>
      </c>
    </row>
    <row r="4" customFormat="false" ht="13.8" hidden="false" customHeight="false" outlineLevel="0" collapsed="false">
      <c r="A4" s="306" t="s">
        <v>203</v>
      </c>
      <c r="B4" s="124" t="n">
        <f aca="false">88774</f>
        <v>88774</v>
      </c>
      <c r="C4" s="124" t="n">
        <f aca="false">1204274+169601</f>
        <v>1373875</v>
      </c>
      <c r="D4" s="124" t="n">
        <f aca="false">135368+71000</f>
        <v>206368</v>
      </c>
      <c r="E4" s="124" t="n">
        <f aca="false">115076+74000</f>
        <v>189076</v>
      </c>
      <c r="F4" s="124" t="n">
        <f aca="false">SUM(B4:E4)</f>
        <v>1858093</v>
      </c>
    </row>
    <row r="5" customFormat="false" ht="13.8" hidden="false" customHeight="false" outlineLevel="0" collapsed="false">
      <c r="A5" s="124" t="s">
        <v>204</v>
      </c>
      <c r="B5" s="124" t="n">
        <f aca="false">88774+10000</f>
        <v>98774</v>
      </c>
      <c r="C5" s="124" t="n">
        <f aca="false">1172715+166800+211000</f>
        <v>1550515</v>
      </c>
      <c r="D5" s="124" t="n">
        <f aca="false">157598+81100+19000</f>
        <v>257698</v>
      </c>
      <c r="E5" s="124" t="n">
        <f aca="false">121375+92500+12500</f>
        <v>226375</v>
      </c>
      <c r="F5" s="124" t="n">
        <f aca="false">SUM(B5:E5)</f>
        <v>2133362</v>
      </c>
    </row>
    <row r="6" customFormat="false" ht="13.8" hidden="false" customHeight="false" outlineLevel="0" collapsed="false">
      <c r="A6" s="124" t="s">
        <v>205</v>
      </c>
      <c r="B6" s="124" t="n">
        <f aca="false">88774+10000</f>
        <v>98774</v>
      </c>
      <c r="C6" s="124" t="n">
        <f aca="false">1200734+158300+226210</f>
        <v>1585244</v>
      </c>
      <c r="D6" s="124" t="n">
        <f aca="false">157598+83100+12710</f>
        <v>253408</v>
      </c>
      <c r="E6" s="124" t="n">
        <f aca="false">102375+92500+6500</f>
        <v>201375</v>
      </c>
      <c r="F6" s="124" t="n">
        <f aca="false">SUM(B6:E6)</f>
        <v>2138801</v>
      </c>
    </row>
    <row r="7" customFormat="false" ht="13.8" hidden="false" customHeight="false" outlineLevel="0" collapsed="false">
      <c r="A7" s="124" t="s">
        <v>206</v>
      </c>
      <c r="B7" s="124" t="n">
        <f aca="false">88774+10000</f>
        <v>98774</v>
      </c>
      <c r="C7" s="124" t="n">
        <f aca="false">1243277+148117+246210</f>
        <v>1637604</v>
      </c>
      <c r="D7" s="124" t="n">
        <f aca="false">138598+12710</f>
        <v>151308</v>
      </c>
      <c r="E7" s="124" t="n">
        <f aca="false">108375+95500+6500</f>
        <v>210375</v>
      </c>
      <c r="F7" s="124" t="n">
        <f aca="false">SUM(B7:E7)</f>
        <v>2098061</v>
      </c>
    </row>
    <row r="8" customFormat="false" ht="13.8" hidden="false" customHeight="false" outlineLevel="0" collapsed="false">
      <c r="A8" s="124" t="s">
        <v>207</v>
      </c>
      <c r="B8" s="124" t="n">
        <f aca="false">88774+10000</f>
        <v>98774</v>
      </c>
      <c r="C8" s="124" t="n">
        <f aca="false">1213799+151100+273810</f>
        <v>1638709</v>
      </c>
      <c r="D8" s="124" t="n">
        <f aca="false">138598+13000</f>
        <v>151598</v>
      </c>
      <c r="E8" s="124" t="n">
        <f aca="false">108375+56500+13000</f>
        <v>177875</v>
      </c>
      <c r="F8" s="124" t="n">
        <f aca="false">SUM(B8:E8)</f>
        <v>2066956</v>
      </c>
    </row>
    <row r="9" customFormat="false" ht="13.8" hidden="false" customHeight="false" outlineLevel="0" collapsed="false">
      <c r="A9" s="124" t="s">
        <v>208</v>
      </c>
      <c r="B9" s="124" t="n">
        <f aca="false">88774+10000</f>
        <v>98774</v>
      </c>
      <c r="C9" s="124" t="n">
        <f aca="false">1133472+160400+301510</f>
        <v>1595382</v>
      </c>
      <c r="D9" s="124" t="n">
        <f aca="false">105598+9750</f>
        <v>115348</v>
      </c>
      <c r="E9" s="124" t="n">
        <f aca="false">130375+68500+6500</f>
        <v>205375</v>
      </c>
      <c r="F9" s="124" t="n">
        <f aca="false">SUM(B9:E9)</f>
        <v>2014879</v>
      </c>
    </row>
    <row r="10" customFormat="false" ht="13.8" hidden="false" customHeight="false" outlineLevel="0" collapsed="false">
      <c r="A10" s="124" t="s">
        <v>209</v>
      </c>
      <c r="B10" s="124" t="n">
        <f aca="false">88774+10000</f>
        <v>98774</v>
      </c>
      <c r="C10" s="124" t="n">
        <f aca="false">1185516+147918+248052</f>
        <v>1581486</v>
      </c>
      <c r="D10" s="124" t="n">
        <f aca="false">130958+10000</f>
        <v>140958</v>
      </c>
      <c r="E10" s="124" t="n">
        <f aca="false">145375+6500</f>
        <v>151875</v>
      </c>
      <c r="F10" s="124" t="n">
        <f aca="false">SUM(B10:E10)</f>
        <v>1973093</v>
      </c>
    </row>
    <row r="11" customFormat="false" ht="13.8" hidden="false" customHeight="false" outlineLevel="0" collapsed="false">
      <c r="A11" s="124" t="s">
        <v>210</v>
      </c>
      <c r="B11" s="124" t="n">
        <f aca="false">88774+10000</f>
        <v>98774</v>
      </c>
      <c r="C11" s="124" t="n">
        <f aca="false">1162016+147000+286310</f>
        <v>1595326</v>
      </c>
      <c r="D11" s="124" t="n">
        <f aca="false">130598+10000</f>
        <v>140598</v>
      </c>
      <c r="E11" s="124" t="n">
        <f aca="false">133375+6500</f>
        <v>139875</v>
      </c>
      <c r="F11" s="124" t="n">
        <f aca="false">SUM(B11:E11)</f>
        <v>1974573</v>
      </c>
    </row>
    <row r="12" customFormat="false" ht="13.8" hidden="false" customHeight="false" outlineLevel="0" collapsed="false">
      <c r="A12" s="124" t="s">
        <v>211</v>
      </c>
      <c r="B12" s="124" t="n">
        <f aca="false">88774+10000</f>
        <v>98774</v>
      </c>
      <c r="C12" s="124" t="n">
        <f aca="false">1094066+141000+315052</f>
        <v>1550118</v>
      </c>
      <c r="D12" s="124" t="n">
        <f aca="false">144828+10000</f>
        <v>154828</v>
      </c>
      <c r="E12" s="124" t="n">
        <f aca="false">133375+6500</f>
        <v>139875</v>
      </c>
      <c r="F12" s="124" t="n">
        <f aca="false">SUM(B12:E12)</f>
        <v>1943595</v>
      </c>
    </row>
    <row r="13" customFormat="false" ht="13.8" hidden="false" customHeight="false" outlineLevel="0" collapsed="false">
      <c r="A13" s="124" t="s">
        <v>212</v>
      </c>
      <c r="B13" s="124" t="n">
        <f aca="false">88774+10000</f>
        <v>98774</v>
      </c>
      <c r="C13" s="124" t="n">
        <f aca="false">1094066+154000+285714</f>
        <v>1533780</v>
      </c>
      <c r="D13" s="124" t="n">
        <f aca="false">132328+10000</f>
        <v>142328</v>
      </c>
      <c r="E13" s="124" t="n">
        <f aca="false">133375+6500</f>
        <v>139875</v>
      </c>
      <c r="F13" s="124" t="n">
        <f aca="false">SUM(B13:E13)</f>
        <v>1914757</v>
      </c>
    </row>
    <row r="14" customFormat="false" ht="13.8" hidden="false" customHeight="false" outlineLevel="0" collapsed="false">
      <c r="A14" s="124" t="s">
        <v>213</v>
      </c>
      <c r="F14" s="124" t="n">
        <f aca="false">SUM(B14:E14)</f>
        <v>0</v>
      </c>
    </row>
    <row r="15" customFormat="false" ht="13.8" hidden="false" customHeight="false" outlineLevel="0" collapsed="false">
      <c r="A15" s="124" t="s">
        <v>214</v>
      </c>
      <c r="F15" s="124" t="n">
        <f aca="false">SUM(B15:E15)</f>
        <v>0</v>
      </c>
    </row>
    <row r="16" customFormat="false" ht="13.8" hidden="false" customHeight="false" outlineLevel="0" collapsed="false">
      <c r="F16" s="124" t="n">
        <f aca="false">SUM(B16:E16)</f>
        <v>0</v>
      </c>
    </row>
    <row r="17" customFormat="false" ht="13.8" hidden="false" customHeight="false" outlineLevel="0" collapsed="false">
      <c r="A17" s="124" t="s">
        <v>39</v>
      </c>
      <c r="B17" s="124" t="n">
        <f aca="false">SUM(B4:B16)</f>
        <v>977740</v>
      </c>
      <c r="C17" s="124" t="n">
        <f aca="false">SUM(C4:C16)</f>
        <v>15642039</v>
      </c>
      <c r="D17" s="124" t="n">
        <f aca="false">SUM(D4:D16)</f>
        <v>1714440</v>
      </c>
      <c r="E17" s="124" t="n">
        <f aca="false">SUM(E4:E16)</f>
        <v>1781951</v>
      </c>
      <c r="F17" s="124" t="n">
        <f aca="false">SUM(F4:F16)</f>
        <v>20116170</v>
      </c>
    </row>
    <row r="18" customFormat="false" ht="13.8" hidden="false" customHeight="false" outlineLevel="0" collapsed="false">
      <c r="B18" s="124" t="s">
        <v>215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2.625" defaultRowHeight="13.8" zeroHeight="false" outlineLevelRow="0" outlineLevelCol="0"/>
  <cols>
    <col collapsed="false" customWidth="true" hidden="false" outlineLevel="0" max="1" min="1" style="124" width="5.24"/>
    <col collapsed="false" customWidth="true" hidden="false" outlineLevel="0" max="2" min="2" style="124" width="17.59"/>
    <col collapsed="false" customWidth="true" hidden="false" outlineLevel="0" max="64" min="3" style="124" width="9.17"/>
  </cols>
  <sheetData>
    <row r="1" customFormat="false" ht="13.8" hidden="false" customHeight="false" outlineLevel="0" collapsed="false">
      <c r="B1" s="124" t="s">
        <v>216</v>
      </c>
    </row>
    <row r="3" customFormat="false" ht="13.8" hidden="false" customHeight="false" outlineLevel="0" collapsed="false">
      <c r="A3" s="307" t="s">
        <v>5</v>
      </c>
      <c r="B3" s="307" t="s">
        <v>217</v>
      </c>
      <c r="C3" s="307" t="s">
        <v>218</v>
      </c>
      <c r="D3" s="307" t="s">
        <v>219</v>
      </c>
      <c r="E3" s="307" t="s">
        <v>220</v>
      </c>
      <c r="F3" s="307" t="s">
        <v>219</v>
      </c>
    </row>
    <row r="4" customFormat="false" ht="17.4" hidden="false" customHeight="true" outlineLevel="0" collapsed="false">
      <c r="A4" s="308" t="n">
        <v>1</v>
      </c>
      <c r="B4" s="309" t="s">
        <v>221</v>
      </c>
      <c r="C4" s="310"/>
      <c r="D4" s="310"/>
      <c r="E4" s="311"/>
      <c r="F4" s="311"/>
    </row>
    <row r="5" customFormat="false" ht="13.8" hidden="false" customHeight="false" outlineLevel="0" collapsed="false">
      <c r="A5" s="308" t="n">
        <f aca="false">A4+1</f>
        <v>2</v>
      </c>
      <c r="B5" s="310" t="s">
        <v>32</v>
      </c>
      <c r="C5" s="310"/>
      <c r="D5" s="310"/>
      <c r="E5" s="311"/>
      <c r="F5" s="311"/>
    </row>
    <row r="6" customFormat="false" ht="13.8" hidden="false" customHeight="false" outlineLevel="0" collapsed="false">
      <c r="A6" s="308" t="n">
        <f aca="false">A5+1</f>
        <v>3</v>
      </c>
      <c r="B6" s="312" t="s">
        <v>222</v>
      </c>
      <c r="C6" s="310"/>
      <c r="D6" s="310"/>
      <c r="E6" s="311"/>
      <c r="F6" s="311"/>
    </row>
    <row r="7" customFormat="false" ht="13.8" hidden="false" customHeight="false" outlineLevel="0" collapsed="false">
      <c r="A7" s="308" t="n">
        <f aca="false">A6+1</f>
        <v>4</v>
      </c>
      <c r="B7" s="309" t="s">
        <v>41</v>
      </c>
      <c r="C7" s="310"/>
      <c r="D7" s="310"/>
      <c r="E7" s="311"/>
      <c r="F7" s="311"/>
    </row>
    <row r="8" customFormat="false" ht="13.8" hidden="false" customHeight="false" outlineLevel="0" collapsed="false">
      <c r="A8" s="308" t="n">
        <f aca="false">A7+1</f>
        <v>5</v>
      </c>
      <c r="B8" s="313" t="s">
        <v>44</v>
      </c>
      <c r="C8" s="310"/>
      <c r="D8" s="310"/>
      <c r="E8" s="311"/>
      <c r="F8" s="311"/>
    </row>
    <row r="9" customFormat="false" ht="13.8" hidden="false" customHeight="false" outlineLevel="0" collapsed="false">
      <c r="A9" s="308" t="n">
        <f aca="false">A8+1</f>
        <v>6</v>
      </c>
      <c r="B9" s="314" t="s">
        <v>46</v>
      </c>
      <c r="C9" s="310"/>
      <c r="D9" s="310"/>
      <c r="E9" s="311"/>
      <c r="F9" s="311"/>
    </row>
    <row r="10" customFormat="false" ht="13.8" hidden="false" customHeight="false" outlineLevel="0" collapsed="false">
      <c r="A10" s="308" t="n">
        <f aca="false">A9+1</f>
        <v>7</v>
      </c>
      <c r="B10" s="310" t="s">
        <v>223</v>
      </c>
      <c r="C10" s="310"/>
      <c r="D10" s="310"/>
      <c r="E10" s="311"/>
      <c r="F10" s="311"/>
    </row>
    <row r="11" customFormat="false" ht="13.8" hidden="false" customHeight="false" outlineLevel="0" collapsed="false">
      <c r="A11" s="308" t="n">
        <f aca="false">A10+1</f>
        <v>8</v>
      </c>
      <c r="B11" s="310" t="s">
        <v>48</v>
      </c>
      <c r="C11" s="310"/>
      <c r="D11" s="310"/>
      <c r="E11" s="311"/>
      <c r="F11" s="311"/>
    </row>
    <row r="12" customFormat="false" ht="13.8" hidden="false" customHeight="false" outlineLevel="0" collapsed="false">
      <c r="A12" s="308" t="n">
        <f aca="false">A11+1</f>
        <v>9</v>
      </c>
      <c r="B12" s="310" t="s">
        <v>224</v>
      </c>
      <c r="C12" s="310"/>
      <c r="D12" s="310"/>
      <c r="E12" s="311"/>
      <c r="F12" s="311"/>
    </row>
    <row r="13" customFormat="false" ht="13.8" hidden="false" customHeight="false" outlineLevel="0" collapsed="false">
      <c r="A13" s="308" t="n">
        <f aca="false">A12+1</f>
        <v>10</v>
      </c>
      <c r="B13" s="310" t="s">
        <v>50</v>
      </c>
      <c r="C13" s="310"/>
      <c r="D13" s="310"/>
      <c r="E13" s="311"/>
      <c r="F13" s="311"/>
    </row>
    <row r="14" customFormat="false" ht="13.8" hidden="false" customHeight="false" outlineLevel="0" collapsed="false">
      <c r="A14" s="308" t="n">
        <f aca="false">A13+1</f>
        <v>11</v>
      </c>
      <c r="B14" s="310" t="s">
        <v>53</v>
      </c>
      <c r="C14" s="310"/>
      <c r="D14" s="310"/>
      <c r="E14" s="311"/>
      <c r="F14" s="311"/>
    </row>
    <row r="15" customFormat="false" ht="13.8" hidden="false" customHeight="false" outlineLevel="0" collapsed="false">
      <c r="A15" s="308" t="n">
        <f aca="false">A14+1</f>
        <v>12</v>
      </c>
      <c r="B15" s="310" t="s">
        <v>225</v>
      </c>
      <c r="C15" s="310"/>
      <c r="D15" s="310"/>
      <c r="E15" s="311"/>
      <c r="F15" s="311"/>
    </row>
    <row r="16" customFormat="false" ht="13.8" hidden="false" customHeight="false" outlineLevel="0" collapsed="false">
      <c r="A16" s="308" t="n">
        <f aca="false">A15+1</f>
        <v>13</v>
      </c>
      <c r="B16" s="310" t="s">
        <v>226</v>
      </c>
      <c r="C16" s="310"/>
      <c r="D16" s="310"/>
      <c r="E16" s="311"/>
      <c r="F16" s="311"/>
    </row>
    <row r="17" customFormat="false" ht="13.8" hidden="false" customHeight="false" outlineLevel="0" collapsed="false">
      <c r="A17" s="308" t="n">
        <f aca="false">A16+1</f>
        <v>14</v>
      </c>
      <c r="B17" s="310" t="s">
        <v>55</v>
      </c>
      <c r="C17" s="310"/>
      <c r="D17" s="310"/>
      <c r="E17" s="311"/>
      <c r="F17" s="311"/>
    </row>
    <row r="18" customFormat="false" ht="13.8" hidden="false" customHeight="false" outlineLevel="0" collapsed="false">
      <c r="A18" s="308" t="n">
        <f aca="false">A17+1</f>
        <v>15</v>
      </c>
      <c r="B18" s="315" t="s">
        <v>57</v>
      </c>
      <c r="C18" s="310"/>
      <c r="D18" s="310"/>
      <c r="E18" s="311"/>
      <c r="F18" s="311"/>
    </row>
    <row r="19" customFormat="false" ht="13.8" hidden="false" customHeight="false" outlineLevel="0" collapsed="false">
      <c r="A19" s="308" t="n">
        <f aca="false">A18+1</f>
        <v>16</v>
      </c>
      <c r="B19" s="315" t="s">
        <v>59</v>
      </c>
      <c r="C19" s="310"/>
      <c r="D19" s="310"/>
      <c r="E19" s="311"/>
      <c r="F19" s="311"/>
    </row>
    <row r="20" customFormat="false" ht="13.8" hidden="false" customHeight="false" outlineLevel="0" collapsed="false">
      <c r="A20" s="308" t="n">
        <f aca="false">A19+1</f>
        <v>17</v>
      </c>
      <c r="B20" s="315" t="s">
        <v>61</v>
      </c>
      <c r="C20" s="310"/>
      <c r="D20" s="310"/>
      <c r="E20" s="311"/>
      <c r="F20" s="311"/>
    </row>
    <row r="21" customFormat="false" ht="13.8" hidden="false" customHeight="false" outlineLevel="0" collapsed="false">
      <c r="A21" s="308" t="n">
        <f aca="false">A20+1</f>
        <v>18</v>
      </c>
      <c r="B21" s="310" t="s">
        <v>63</v>
      </c>
      <c r="C21" s="310"/>
      <c r="D21" s="310"/>
      <c r="E21" s="311"/>
      <c r="F21" s="311"/>
    </row>
    <row r="22" customFormat="false" ht="13.8" hidden="false" customHeight="false" outlineLevel="0" collapsed="false">
      <c r="A22" s="308" t="n">
        <f aca="false">A21+1</f>
        <v>19</v>
      </c>
      <c r="B22" s="310" t="s">
        <v>227</v>
      </c>
      <c r="C22" s="310"/>
      <c r="D22" s="310"/>
      <c r="E22" s="311"/>
      <c r="F22" s="311"/>
    </row>
    <row r="23" customFormat="false" ht="13.8" hidden="false" customHeight="false" outlineLevel="0" collapsed="false">
      <c r="A23" s="308" t="n">
        <f aca="false">A22+1</f>
        <v>20</v>
      </c>
      <c r="B23" s="310" t="s">
        <v>228</v>
      </c>
      <c r="C23" s="310"/>
      <c r="D23" s="310"/>
      <c r="E23" s="311"/>
      <c r="F23" s="311"/>
    </row>
    <row r="24" customFormat="false" ht="13.8" hidden="false" customHeight="false" outlineLevel="0" collapsed="false">
      <c r="A24" s="308" t="n">
        <f aca="false">A23+1</f>
        <v>21</v>
      </c>
      <c r="B24" s="310" t="s">
        <v>65</v>
      </c>
      <c r="C24" s="310"/>
      <c r="D24" s="310"/>
      <c r="E24" s="311"/>
      <c r="F24" s="311"/>
    </row>
    <row r="25" customFormat="false" ht="13.8" hidden="false" customHeight="false" outlineLevel="0" collapsed="false">
      <c r="A25" s="308" t="n">
        <f aca="false">A24+1</f>
        <v>22</v>
      </c>
      <c r="B25" s="310" t="s">
        <v>67</v>
      </c>
      <c r="C25" s="310"/>
      <c r="D25" s="310"/>
      <c r="E25" s="311"/>
      <c r="F25" s="311"/>
    </row>
    <row r="26" customFormat="false" ht="13.8" hidden="false" customHeight="false" outlineLevel="0" collapsed="false">
      <c r="A26" s="308" t="n">
        <f aca="false">A25+1</f>
        <v>23</v>
      </c>
      <c r="B26" s="310" t="s">
        <v>68</v>
      </c>
      <c r="C26" s="310"/>
      <c r="D26" s="310"/>
      <c r="E26" s="311"/>
      <c r="F26" s="311"/>
    </row>
    <row r="27" customFormat="false" ht="13.8" hidden="false" customHeight="false" outlineLevel="0" collapsed="false">
      <c r="A27" s="308" t="n">
        <f aca="false">A26+1</f>
        <v>24</v>
      </c>
      <c r="B27" s="310" t="s">
        <v>69</v>
      </c>
      <c r="C27" s="310"/>
      <c r="D27" s="310"/>
      <c r="E27" s="311"/>
      <c r="F27" s="311"/>
    </row>
    <row r="28" customFormat="false" ht="13.8" hidden="false" customHeight="false" outlineLevel="0" collapsed="false">
      <c r="A28" s="308" t="n">
        <f aca="false">A27+1</f>
        <v>25</v>
      </c>
      <c r="B28" s="310" t="s">
        <v>71</v>
      </c>
      <c r="C28" s="310"/>
      <c r="D28" s="310"/>
      <c r="E28" s="311"/>
      <c r="F28" s="311"/>
    </row>
    <row r="29" customFormat="false" ht="13.8" hidden="false" customHeight="false" outlineLevel="0" collapsed="false">
      <c r="A29" s="308" t="n">
        <f aca="false">A28+1</f>
        <v>26</v>
      </c>
      <c r="B29" s="310" t="s">
        <v>229</v>
      </c>
      <c r="C29" s="310"/>
      <c r="D29" s="310"/>
      <c r="E29" s="311"/>
      <c r="F29" s="311"/>
    </row>
    <row r="30" customFormat="false" ht="13.8" hidden="false" customHeight="false" outlineLevel="0" collapsed="false">
      <c r="A30" s="308" t="n">
        <f aca="false">A29+1</f>
        <v>27</v>
      </c>
      <c r="B30" s="310" t="s">
        <v>72</v>
      </c>
      <c r="C30" s="310"/>
      <c r="D30" s="310"/>
      <c r="E30" s="311"/>
      <c r="F30" s="311"/>
    </row>
    <row r="31" customFormat="false" ht="13.8" hidden="false" customHeight="false" outlineLevel="0" collapsed="false">
      <c r="A31" s="308" t="n">
        <f aca="false">A30+1</f>
        <v>28</v>
      </c>
      <c r="B31" s="310" t="s">
        <v>230</v>
      </c>
      <c r="C31" s="310"/>
      <c r="D31" s="310"/>
      <c r="E31" s="311"/>
      <c r="F31" s="311"/>
    </row>
    <row r="32" customFormat="false" ht="13.8" hidden="false" customHeight="false" outlineLevel="0" collapsed="false">
      <c r="A32" s="308" t="n">
        <f aca="false">A31+1</f>
        <v>29</v>
      </c>
      <c r="B32" s="310" t="s">
        <v>231</v>
      </c>
      <c r="C32" s="310"/>
      <c r="D32" s="310"/>
      <c r="E32" s="311"/>
      <c r="F32" s="311"/>
    </row>
    <row r="33" customFormat="false" ht="13.8" hidden="false" customHeight="false" outlineLevel="0" collapsed="false">
      <c r="A33" s="308" t="n">
        <f aca="false">A32+1</f>
        <v>30</v>
      </c>
      <c r="B33" s="312" t="s">
        <v>232</v>
      </c>
      <c r="C33" s="310"/>
      <c r="D33" s="310"/>
      <c r="E33" s="311"/>
      <c r="F33" s="311"/>
    </row>
    <row r="34" customFormat="false" ht="13.8" hidden="false" customHeight="false" outlineLevel="0" collapsed="false">
      <c r="A34" s="308" t="n">
        <f aca="false">A33+1</f>
        <v>31</v>
      </c>
      <c r="B34" s="312" t="s">
        <v>233</v>
      </c>
      <c r="C34" s="310"/>
      <c r="D34" s="310"/>
      <c r="E34" s="311"/>
      <c r="F34" s="311"/>
    </row>
    <row r="35" customFormat="false" ht="13.8" hidden="false" customHeight="false" outlineLevel="0" collapsed="false">
      <c r="A35" s="308" t="n">
        <f aca="false">A34+1</f>
        <v>32</v>
      </c>
      <c r="B35" s="312" t="s">
        <v>234</v>
      </c>
      <c r="C35" s="310"/>
      <c r="D35" s="310"/>
      <c r="E35" s="311"/>
      <c r="F35" s="311"/>
    </row>
    <row r="36" customFormat="false" ht="13.8" hidden="false" customHeight="false" outlineLevel="0" collapsed="false">
      <c r="A36" s="308" t="n">
        <f aca="false">A35+1</f>
        <v>33</v>
      </c>
      <c r="B36" s="310" t="s">
        <v>166</v>
      </c>
      <c r="C36" s="310"/>
      <c r="D36" s="310"/>
      <c r="E36" s="311"/>
      <c r="F36" s="311"/>
    </row>
    <row r="37" customFormat="false" ht="13.8" hidden="false" customHeight="false" outlineLevel="0" collapsed="false">
      <c r="A37" s="308" t="n">
        <f aca="false">A36+1</f>
        <v>34</v>
      </c>
      <c r="B37" s="312" t="s">
        <v>235</v>
      </c>
      <c r="C37" s="310"/>
      <c r="D37" s="310"/>
      <c r="E37" s="311"/>
      <c r="F37" s="311"/>
    </row>
    <row r="38" customFormat="false" ht="13.8" hidden="false" customHeight="false" outlineLevel="0" collapsed="false">
      <c r="A38" s="308" t="n">
        <f aca="false">A37+1</f>
        <v>35</v>
      </c>
      <c r="B38" s="310" t="s">
        <v>236</v>
      </c>
      <c r="C38" s="310"/>
      <c r="D38" s="310"/>
      <c r="E38" s="311"/>
      <c r="F38" s="311"/>
    </row>
    <row r="39" customFormat="false" ht="13.8" hidden="false" customHeight="false" outlineLevel="0" collapsed="false">
      <c r="A39" s="308" t="n">
        <f aca="false">A38+1</f>
        <v>36</v>
      </c>
      <c r="B39" s="310" t="s">
        <v>237</v>
      </c>
      <c r="C39" s="310"/>
      <c r="D39" s="310"/>
      <c r="E39" s="311"/>
      <c r="F39" s="311"/>
    </row>
    <row r="40" customFormat="false" ht="13.8" hidden="false" customHeight="false" outlineLevel="0" collapsed="false">
      <c r="A40" s="308" t="n">
        <f aca="false">A39+1</f>
        <v>37</v>
      </c>
      <c r="B40" s="310" t="s">
        <v>74</v>
      </c>
      <c r="C40" s="310"/>
      <c r="D40" s="310"/>
      <c r="E40" s="311"/>
      <c r="F40" s="311"/>
    </row>
    <row r="41" customFormat="false" ht="13.8" hidden="false" customHeight="false" outlineLevel="0" collapsed="false">
      <c r="A41" s="308" t="n">
        <f aca="false">A40+1</f>
        <v>38</v>
      </c>
      <c r="B41" s="310" t="s">
        <v>76</v>
      </c>
      <c r="C41" s="310"/>
      <c r="D41" s="310"/>
      <c r="E41" s="311"/>
      <c r="F41" s="311"/>
    </row>
    <row r="42" customFormat="false" ht="13.8" hidden="false" customHeight="false" outlineLevel="0" collapsed="false">
      <c r="A42" s="308" t="n">
        <f aca="false">A41+1</f>
        <v>39</v>
      </c>
      <c r="B42" s="310" t="s">
        <v>77</v>
      </c>
      <c r="C42" s="310"/>
      <c r="D42" s="310"/>
      <c r="E42" s="311"/>
      <c r="F42" s="311"/>
    </row>
    <row r="43" customFormat="false" ht="13.8" hidden="false" customHeight="false" outlineLevel="0" collapsed="false">
      <c r="A43" s="308" t="n">
        <f aca="false">A42+1</f>
        <v>40</v>
      </c>
      <c r="B43" s="310" t="s">
        <v>238</v>
      </c>
      <c r="C43" s="310"/>
      <c r="D43" s="310"/>
      <c r="E43" s="311"/>
      <c r="F43" s="311"/>
    </row>
    <row r="44" customFormat="false" ht="13.8" hidden="false" customHeight="false" outlineLevel="0" collapsed="false">
      <c r="A44" s="308" t="n">
        <f aca="false">A43+1</f>
        <v>41</v>
      </c>
      <c r="B44" s="310" t="s">
        <v>160</v>
      </c>
      <c r="C44" s="310"/>
      <c r="D44" s="310"/>
      <c r="E44" s="311"/>
      <c r="F44" s="311"/>
    </row>
    <row r="45" customFormat="false" ht="13.8" hidden="false" customHeight="false" outlineLevel="0" collapsed="false">
      <c r="A45" s="308" t="n">
        <f aca="false">A44+1</f>
        <v>42</v>
      </c>
      <c r="B45" s="310" t="s">
        <v>239</v>
      </c>
      <c r="C45" s="310"/>
      <c r="D45" s="310"/>
      <c r="E45" s="311"/>
      <c r="F45" s="311"/>
    </row>
    <row r="46" customFormat="false" ht="13.8" hidden="false" customHeight="false" outlineLevel="0" collapsed="false">
      <c r="A46" s="308" t="n">
        <f aca="false">A45+1</f>
        <v>43</v>
      </c>
      <c r="B46" s="310"/>
      <c r="C46" s="310"/>
      <c r="D46" s="310"/>
      <c r="E46" s="311"/>
      <c r="F46" s="311"/>
    </row>
    <row r="47" customFormat="false" ht="13.8" hidden="false" customHeight="false" outlineLevel="0" collapsed="false">
      <c r="A47" s="308" t="n">
        <f aca="false">A46+1</f>
        <v>44</v>
      </c>
      <c r="B47" s="310"/>
      <c r="C47" s="310"/>
      <c r="D47" s="310"/>
      <c r="E47" s="311"/>
      <c r="F47" s="311"/>
    </row>
    <row r="48" customFormat="false" ht="13.8" hidden="false" customHeight="false" outlineLevel="0" collapsed="false">
      <c r="A48" s="316" t="n">
        <f aca="false">A47+1</f>
        <v>45</v>
      </c>
      <c r="B48" s="311"/>
      <c r="C48" s="311"/>
      <c r="D48" s="311"/>
      <c r="E48" s="311"/>
      <c r="F48" s="311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4" activeCellId="0" sqref="C24"/>
    </sheetView>
  </sheetViews>
  <sheetFormatPr defaultColWidth="12.625" defaultRowHeight="12.8" zeroHeight="false" outlineLevelRow="0" outlineLevelCol="0"/>
  <cols>
    <col collapsed="false" customWidth="true" hidden="false" outlineLevel="0" max="1" min="1" style="124" width="34.8"/>
    <col collapsed="false" customWidth="true" hidden="false" outlineLevel="0" max="2" min="2" style="124" width="25.74"/>
    <col collapsed="false" customWidth="true" hidden="false" outlineLevel="0" max="3" min="3" style="124" width="38.46"/>
    <col collapsed="false" customWidth="true" hidden="false" outlineLevel="0" max="4" min="4" style="124" width="17.69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317" t="s">
        <v>240</v>
      </c>
      <c r="B2" s="317"/>
      <c r="C2" s="317"/>
      <c r="D2" s="317"/>
      <c r="E2" s="317"/>
    </row>
    <row r="3" customFormat="false" ht="13.8" hidden="false" customHeight="false" outlineLevel="0" collapsed="false">
      <c r="A3" s="318" t="s">
        <v>241</v>
      </c>
      <c r="B3" s="318"/>
      <c r="C3" s="318"/>
      <c r="D3" s="318"/>
      <c r="E3" s="318"/>
    </row>
    <row r="4" customFormat="false" ht="13.8" hidden="false" customHeight="false" outlineLevel="0" collapsed="false">
      <c r="A4" s="319"/>
      <c r="B4" s="320" t="s">
        <v>170</v>
      </c>
      <c r="C4" s="320"/>
      <c r="D4" s="321"/>
      <c r="E4" s="321"/>
    </row>
    <row r="5" customFormat="false" ht="13.8" hidden="false" customHeight="false" outlineLevel="0" collapsed="false">
      <c r="A5" s="319"/>
      <c r="B5" s="319"/>
      <c r="C5" s="321"/>
      <c r="D5" s="321"/>
      <c r="E5" s="321"/>
    </row>
    <row r="6" customFormat="false" ht="15" hidden="false" customHeight="false" outlineLevel="0" collapsed="false">
      <c r="A6" s="319" t="s">
        <v>171</v>
      </c>
      <c r="B6" s="322" t="s">
        <v>242</v>
      </c>
      <c r="C6" s="319"/>
      <c r="D6" s="319"/>
      <c r="E6" s="319"/>
    </row>
    <row r="7" customFormat="false" ht="13.8" hidden="false" customHeight="false" outlineLevel="0" collapsed="false">
      <c r="A7" s="319" t="s">
        <v>173</v>
      </c>
      <c r="B7" s="321" t="n">
        <v>31</v>
      </c>
      <c r="C7" s="323" t="s">
        <v>174</v>
      </c>
      <c r="D7" s="321" t="n">
        <v>31</v>
      </c>
      <c r="E7" s="319"/>
    </row>
    <row r="8" customFormat="false" ht="15" hidden="false" customHeight="false" outlineLevel="0" collapsed="false">
      <c r="A8" s="319" t="s">
        <v>175</v>
      </c>
      <c r="B8" s="324" t="s">
        <v>243</v>
      </c>
      <c r="C8" s="324"/>
      <c r="D8" s="319"/>
      <c r="E8" s="319"/>
    </row>
    <row r="9" customFormat="false" ht="26.85" hidden="false" customHeight="false" outlineLevel="0" collapsed="false">
      <c r="A9" s="325" t="s">
        <v>119</v>
      </c>
      <c r="B9" s="326" t="s">
        <v>177</v>
      </c>
      <c r="C9" s="327" t="s">
        <v>121</v>
      </c>
      <c r="D9" s="327"/>
      <c r="E9" s="326" t="s">
        <v>177</v>
      </c>
    </row>
    <row r="10" customFormat="false" ht="13.8" hidden="false" customHeight="false" outlineLevel="0" collapsed="false">
      <c r="A10" s="319" t="s">
        <v>21</v>
      </c>
      <c r="B10" s="328" t="n">
        <v>20150.5</v>
      </c>
      <c r="C10" s="319"/>
      <c r="D10" s="323" t="s">
        <v>24</v>
      </c>
      <c r="E10" s="329" t="n">
        <f aca="false">+B18</f>
        <v>1800</v>
      </c>
    </row>
    <row r="11" customFormat="false" ht="13.8" hidden="false" customHeight="false" outlineLevel="0" collapsed="false">
      <c r="A11" s="319" t="s">
        <v>10</v>
      </c>
      <c r="B11" s="330" t="n">
        <f aca="false">+B10*50%</f>
        <v>10075.25</v>
      </c>
      <c r="C11" s="319"/>
      <c r="D11" s="323" t="s">
        <v>25</v>
      </c>
      <c r="E11" s="329" t="n">
        <v>0</v>
      </c>
    </row>
    <row r="12" customFormat="false" ht="13.8" hidden="false" customHeight="false" outlineLevel="0" collapsed="false">
      <c r="A12" s="319" t="s">
        <v>11</v>
      </c>
      <c r="B12" s="330" t="n">
        <v>1600</v>
      </c>
      <c r="C12" s="319"/>
      <c r="D12" s="323" t="s">
        <v>123</v>
      </c>
      <c r="E12" s="329" t="n">
        <v>0</v>
      </c>
    </row>
    <row r="13" customFormat="false" ht="13.8" hidden="false" customHeight="false" outlineLevel="0" collapsed="false">
      <c r="A13" s="319" t="s">
        <v>122</v>
      </c>
      <c r="B13" s="328" t="n">
        <f aca="false">+B10*0.09</f>
        <v>1813.545</v>
      </c>
      <c r="C13" s="319"/>
      <c r="D13" s="323" t="s">
        <v>99</v>
      </c>
      <c r="E13" s="329" t="n">
        <v>0</v>
      </c>
    </row>
    <row r="14" customFormat="false" ht="13.8" hidden="false" customHeight="false" outlineLevel="0" collapsed="false">
      <c r="A14" s="319" t="s">
        <v>148</v>
      </c>
      <c r="B14" s="328" t="n">
        <f aca="false">B16-B10-B11-B12-B13</f>
        <v>6661.705</v>
      </c>
      <c r="C14" s="319"/>
      <c r="D14" s="323" t="s">
        <v>106</v>
      </c>
      <c r="E14" s="329" t="n">
        <v>0</v>
      </c>
    </row>
    <row r="15" customFormat="false" ht="13.8" hidden="false" customHeight="false" outlineLevel="0" collapsed="false">
      <c r="A15" s="319" t="s">
        <v>106</v>
      </c>
      <c r="B15" s="330" t="n">
        <v>0</v>
      </c>
      <c r="C15" s="319"/>
      <c r="D15" s="323" t="s">
        <v>149</v>
      </c>
      <c r="E15" s="329" t="n">
        <v>0</v>
      </c>
    </row>
    <row r="16" customFormat="false" ht="13.8" hidden="false" customHeight="false" outlineLevel="0" collapsed="false">
      <c r="A16" s="325" t="s">
        <v>150</v>
      </c>
      <c r="B16" s="331" t="n">
        <v>40301</v>
      </c>
      <c r="C16" s="319"/>
      <c r="D16" s="323" t="s">
        <v>151</v>
      </c>
      <c r="E16" s="329" t="n">
        <v>0</v>
      </c>
    </row>
    <row r="17" customFormat="false" ht="13.8" hidden="false" customHeight="false" outlineLevel="0" collapsed="false">
      <c r="A17" s="325" t="s">
        <v>152</v>
      </c>
      <c r="B17" s="325"/>
      <c r="C17" s="319"/>
      <c r="D17" s="319"/>
      <c r="E17" s="329"/>
    </row>
    <row r="18" customFormat="false" ht="13.8" hidden="false" customHeight="false" outlineLevel="0" collapsed="false">
      <c r="A18" s="319" t="s">
        <v>127</v>
      </c>
      <c r="B18" s="332" t="n">
        <v>1800</v>
      </c>
      <c r="C18" s="319"/>
      <c r="D18" s="319"/>
      <c r="E18" s="329"/>
    </row>
    <row r="19" customFormat="false" ht="13.8" hidden="false" customHeight="false" outlineLevel="0" collapsed="false">
      <c r="A19" s="319" t="s">
        <v>128</v>
      </c>
      <c r="B19" s="330" t="n">
        <f aca="false">IF(B15&gt;21000,0,ROUND(B15*0.0325,0))</f>
        <v>0</v>
      </c>
      <c r="C19" s="319"/>
      <c r="D19" s="319"/>
      <c r="E19" s="329"/>
    </row>
    <row r="20" customFormat="false" ht="13.8" hidden="false" customHeight="false" outlineLevel="0" collapsed="false">
      <c r="A20" s="325" t="s">
        <v>153</v>
      </c>
      <c r="B20" s="331" t="n">
        <f aca="false">+B19+B18</f>
        <v>1800</v>
      </c>
      <c r="C20" s="319"/>
      <c r="D20" s="319"/>
      <c r="E20" s="329"/>
    </row>
    <row r="21" customFormat="false" ht="13.8" hidden="false" customHeight="false" outlineLevel="0" collapsed="false">
      <c r="A21" s="325"/>
      <c r="B21" s="333"/>
      <c r="C21" s="321"/>
      <c r="D21" s="334" t="s">
        <v>158</v>
      </c>
      <c r="E21" s="333" t="n">
        <f aca="false">SUM(E10:E20)</f>
        <v>1800</v>
      </c>
    </row>
    <row r="22" customFormat="false" ht="13.8" hidden="false" customHeight="false" outlineLevel="0" collapsed="false">
      <c r="A22" s="325" t="s">
        <v>244</v>
      </c>
      <c r="B22" s="333" t="n">
        <f aca="false">B16+B20</f>
        <v>42101</v>
      </c>
      <c r="C22" s="325"/>
      <c r="D22" s="334" t="s">
        <v>179</v>
      </c>
      <c r="E22" s="333" t="n">
        <f aca="false">B22-E21</f>
        <v>40301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>
      <c r="A25" s="327" t="s">
        <v>245</v>
      </c>
      <c r="B25" s="327"/>
    </row>
    <row r="26" customFormat="false" ht="13.8" hidden="false" customHeight="false" outlineLevel="0" collapsed="false">
      <c r="A26" s="319" t="s">
        <v>100</v>
      </c>
      <c r="B26" s="329" t="n">
        <v>1200</v>
      </c>
    </row>
    <row r="27" customFormat="false" ht="13.8" hidden="false" customHeight="false" outlineLevel="0" collapsed="false">
      <c r="A27" s="319" t="s">
        <v>155</v>
      </c>
      <c r="B27" s="329" t="n">
        <v>800</v>
      </c>
    </row>
    <row r="28" customFormat="false" ht="13.8" hidden="false" customHeight="false" outlineLevel="0" collapsed="false">
      <c r="A28" s="319" t="s">
        <v>102</v>
      </c>
      <c r="B28" s="329" t="n">
        <v>800</v>
      </c>
    </row>
    <row r="29" customFormat="false" ht="13.8" hidden="false" customHeight="false" outlineLevel="0" collapsed="false">
      <c r="A29" s="319" t="s">
        <v>156</v>
      </c>
      <c r="B29" s="329" t="n">
        <v>800</v>
      </c>
    </row>
    <row r="30" customFormat="false" ht="13.8" hidden="false" customHeight="false" outlineLevel="0" collapsed="false">
      <c r="A30" s="319" t="s">
        <v>104</v>
      </c>
      <c r="B30" s="329" t="n">
        <v>400</v>
      </c>
    </row>
    <row r="31" customFormat="false" ht="13.8" hidden="false" customHeight="false" outlineLevel="0" collapsed="false">
      <c r="A31" s="319" t="s">
        <v>106</v>
      </c>
      <c r="B31" s="329"/>
    </row>
    <row r="32" customFormat="false" ht="13.8" hidden="false" customHeight="false" outlineLevel="0" collapsed="false">
      <c r="A32" s="325" t="s">
        <v>246</v>
      </c>
      <c r="B32" s="333" t="n">
        <v>4000</v>
      </c>
    </row>
  </sheetData>
  <mergeCells count="7">
    <mergeCell ref="A2:E2"/>
    <mergeCell ref="A3:E3"/>
    <mergeCell ref="B4:C4"/>
    <mergeCell ref="B8:C8"/>
    <mergeCell ref="C9:D9"/>
    <mergeCell ref="A17:B17"/>
    <mergeCell ref="A25:B25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264524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2015-05-06T18:08:28Z</dcterms:created>
  <dc:creator>pc17</dc:creator>
  <dc:description/>
  <dc:language>en-IN</dc:language>
  <cp:lastModifiedBy/>
  <dcterms:modified xsi:type="dcterms:W3CDTF">2026-01-10T17:57:23Z</dcterms:modified>
  <cp:revision>1491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